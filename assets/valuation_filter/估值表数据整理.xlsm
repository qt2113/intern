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QY\Desktop\"/>
    </mc:Choice>
  </mc:AlternateContent>
  <xr:revisionPtr revIDLastSave="0" documentId="13_ncr:1_{C3C7B050-BFB6-4012-A2AD-D70388247712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Sheet1" sheetId="1" r:id="rId1"/>
    <sheet name="趋势数据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5" l="1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F2" i="5"/>
  <c r="B2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C18" i="5" a="1"/>
  <c r="C17" i="5" a="1"/>
  <c r="C16" i="5" a="1"/>
  <c r="C15" i="5" a="1"/>
  <c r="C14" i="5" a="1"/>
  <c r="C13" i="5" a="1"/>
  <c r="C12" i="5" a="1"/>
  <c r="C11" i="5" a="1"/>
  <c r="C10" i="5" a="1"/>
  <c r="C9" i="5" a="1"/>
  <c r="C8" i="5" a="1"/>
  <c r="C7" i="5" a="1"/>
  <c r="C6" i="5" a="1"/>
  <c r="C5" i="5" a="1"/>
  <c r="C4" i="5" a="1"/>
  <c r="C3" i="5" a="1"/>
  <c r="C2" i="5" a="1"/>
  <c r="C18" i="5" l="1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<sst xmlns="http://schemas.openxmlformats.org/spreadsheetml/2006/main" count="3120" uniqueCount="181">
  <si>
    <t>私募证券投资基金委托资产资产估值表20240131三级科目.xlsx</t>
  </si>
  <si>
    <t>单位净值:0.9963</t>
  </si>
  <si>
    <t/>
  </si>
  <si>
    <t>科目代码</t>
  </si>
  <si>
    <t>科目名称</t>
  </si>
  <si>
    <t>市值-本币</t>
  </si>
  <si>
    <t>市值占比</t>
  </si>
  <si>
    <t>估值增值-本币</t>
  </si>
  <si>
    <t>停牌信息</t>
  </si>
  <si>
    <t>1002</t>
  </si>
  <si>
    <t>银行存款</t>
  </si>
  <si>
    <t>1002.01</t>
  </si>
  <si>
    <t>银行存款_活期</t>
  </si>
  <si>
    <t>1002.21</t>
  </si>
  <si>
    <t>银行存款_活期_应计利息</t>
  </si>
  <si>
    <t>1021</t>
  </si>
  <si>
    <t>结算备付金</t>
  </si>
  <si>
    <t>1031</t>
  </si>
  <si>
    <t>存出保证金</t>
  </si>
  <si>
    <t>1031.89</t>
  </si>
  <si>
    <t>存出保证金_存出保证金_财通证券</t>
  </si>
  <si>
    <t>1031.JX</t>
  </si>
  <si>
    <t>存出保证金_应计利息</t>
  </si>
  <si>
    <t>1102</t>
  </si>
  <si>
    <t>交易性股票投资</t>
  </si>
  <si>
    <t>1102.01</t>
  </si>
  <si>
    <t>上交所_已上市_普通_股票</t>
  </si>
  <si>
    <t>1102.33</t>
  </si>
  <si>
    <t>深交所_已上市_普通_股票</t>
  </si>
  <si>
    <t>1102.34</t>
  </si>
  <si>
    <t>深交所_已上市_普通_股票_创业板</t>
  </si>
  <si>
    <t>1221</t>
  </si>
  <si>
    <t>其他应收款</t>
  </si>
  <si>
    <t>1221.11</t>
  </si>
  <si>
    <t>其他应收款_募集期利息</t>
  </si>
  <si>
    <t>3102</t>
  </si>
  <si>
    <t>衍生工具</t>
  </si>
  <si>
    <t>3102.02</t>
  </si>
  <si>
    <t>中金所_投机_买方_国债期货</t>
  </si>
  <si>
    <t>3102.02.01</t>
  </si>
  <si>
    <t>中金所_投机_买方_国债期货_成本</t>
  </si>
  <si>
    <t>3102.21</t>
  </si>
  <si>
    <t>上期所_投机_买方_商品期货</t>
  </si>
  <si>
    <t>3102.21.01</t>
  </si>
  <si>
    <t>上期所_投机_买方_商品_成本</t>
  </si>
  <si>
    <t>3102.31</t>
  </si>
  <si>
    <t>郑商所_投机_买方_商品期货</t>
  </si>
  <si>
    <t>3102.31.01</t>
  </si>
  <si>
    <t>郑商所_投机_买方_成本</t>
  </si>
  <si>
    <t>3102.41</t>
  </si>
  <si>
    <t>大商所_投机_买方_商品期货</t>
  </si>
  <si>
    <t>3102.41.01</t>
  </si>
  <si>
    <t>大商所_投机_买方_商品期货_成本</t>
  </si>
  <si>
    <t>3102.42</t>
  </si>
  <si>
    <t>大商所_投机_卖方_商品期货</t>
  </si>
  <si>
    <t>3102.42.01</t>
  </si>
  <si>
    <t>大商所_投机_卖方_商品期货_成本</t>
  </si>
  <si>
    <t>3102.69</t>
  </si>
  <si>
    <t>上海能源交易所_投机_买方_商品期货</t>
  </si>
  <si>
    <t>3102.69.01</t>
  </si>
  <si>
    <t>上海能源交易所_投机_买方_商品期货_成本</t>
  </si>
  <si>
    <t>其中股票投资</t>
  </si>
  <si>
    <t>其中其他衍生工具投资</t>
  </si>
  <si>
    <t>流通股票投资合计</t>
  </si>
  <si>
    <t>其中上海流通股票</t>
  </si>
  <si>
    <t>其中深圳流通股票</t>
  </si>
  <si>
    <t>其中深圳创业板流通股票</t>
  </si>
  <si>
    <t>私募证券投资基金委托资产资产估值表20240229三级科目.xlsx</t>
  </si>
  <si>
    <t>单位净值:1.0062</t>
  </si>
  <si>
    <t>1102.65</t>
  </si>
  <si>
    <t>沪港通联合市场_已上市_普通_股票</t>
  </si>
  <si>
    <t>1105</t>
  </si>
  <si>
    <t>交易性基金投资</t>
  </si>
  <si>
    <t>1105.04</t>
  </si>
  <si>
    <t>上交所_已上市_开放式_货币</t>
  </si>
  <si>
    <t>3102.84</t>
  </si>
  <si>
    <t>广期所_投机_卖方_商品期货</t>
  </si>
  <si>
    <t>3102.84.01</t>
  </si>
  <si>
    <t>广期所_投机_卖方_商品期货_成本</t>
  </si>
  <si>
    <t>基金投资合计</t>
  </si>
  <si>
    <t>其中基金投资</t>
  </si>
  <si>
    <t>期货账户保证金占用合计</t>
  </si>
  <si>
    <t>私募证券投资基金委托资产资产估值表20240329三级科目.xlsx</t>
  </si>
  <si>
    <t>单位净值:1.0357</t>
  </si>
  <si>
    <t>1105.02</t>
  </si>
  <si>
    <t>上交所_已上市_开放式_ETF</t>
  </si>
  <si>
    <t>1203</t>
  </si>
  <si>
    <t>应收股利</t>
  </si>
  <si>
    <t>1203.01</t>
  </si>
  <si>
    <t>应收上交所股利</t>
  </si>
  <si>
    <t>私募证券投资基金委托资产资产估值表20240430三级科目.xlsx</t>
  </si>
  <si>
    <t>单位净值:1.0820</t>
  </si>
  <si>
    <t>1102.C1</t>
  </si>
  <si>
    <t>上交所_已上市_普通_股票_科创板</t>
  </si>
  <si>
    <t>3102.22</t>
  </si>
  <si>
    <t>上期所_投机_卖方_商品期货</t>
  </si>
  <si>
    <t>3102.22.01</t>
  </si>
  <si>
    <t>上期所_投机_卖方_商品_成本</t>
  </si>
  <si>
    <t>私募证券投资基金委托资产资产估值表20240531三级科目.xlsx</t>
  </si>
  <si>
    <t>单位净值:1.0861</t>
  </si>
  <si>
    <t>1203.04</t>
  </si>
  <si>
    <t>沪港通应收股利</t>
  </si>
  <si>
    <t>3102.32</t>
  </si>
  <si>
    <t>郑商所_投机_卖方_商品期货</t>
  </si>
  <si>
    <t>3102.32.01</t>
  </si>
  <si>
    <t>郑商所_投机_卖方_商品期货_成本</t>
  </si>
  <si>
    <t>3102.91</t>
  </si>
  <si>
    <t>其他衍生工具_收益互换</t>
  </si>
  <si>
    <t>3102.91.01</t>
  </si>
  <si>
    <t>其他衍生工具_收益互换_成本</t>
  </si>
  <si>
    <t>私募证券投资基金委托资产资产估值表20240628三级科目.xlsx</t>
  </si>
  <si>
    <t>单位净值:1.0972</t>
  </si>
  <si>
    <t>1105.12</t>
  </si>
  <si>
    <t>深交所_已上市_开放式_ETF</t>
  </si>
  <si>
    <t>私募证券投资基金委托资产资产估值表20240731三级科目.xlsx</t>
  </si>
  <si>
    <t>单位净值:1.0955</t>
  </si>
  <si>
    <t>私募证券投资基金委托资产资产估值表20240830三级科目.xlsx</t>
  </si>
  <si>
    <t>单位净值:1.1124</t>
  </si>
  <si>
    <t xml:space="preserve">         </t>
  </si>
  <si>
    <t>私募证券投资基金委托资产资产估值表20240930三级科目.xlsx</t>
  </si>
  <si>
    <t>单位净值:1.1940</t>
  </si>
  <si>
    <t>私募证券投资基金委托资产资产估值表20241031三级科目.xlsx</t>
  </si>
  <si>
    <t>单位净值:1.2054</t>
  </si>
  <si>
    <t>1021.QX</t>
  </si>
  <si>
    <t>结算备付金_应计利息</t>
  </si>
  <si>
    <t>私募证券投资基金委托资产资产估值表20241129三级科目.xlsx</t>
  </si>
  <si>
    <t>单位净值:1.2177</t>
  </si>
  <si>
    <t>3102.43</t>
  </si>
  <si>
    <t>上海_非备兑_买方_期权_ETF基金</t>
  </si>
  <si>
    <t>3102.43.01</t>
  </si>
  <si>
    <t>上海_非备兑_买方_期权_ETF基金_成本</t>
  </si>
  <si>
    <t>私募证券投资基金委托资产资产估值表20241231三级科目.xlsx</t>
  </si>
  <si>
    <t>单位净值:1.2456</t>
  </si>
  <si>
    <t>私募证券投资基金委托资产资产估值表20250127三级科目.xlsx</t>
  </si>
  <si>
    <t>单位净值:1.2422</t>
  </si>
  <si>
    <t>私募证券投资基金委托资产资产估值表20250228三级科目.xlsx</t>
  </si>
  <si>
    <t>单位净值:1.2129</t>
  </si>
  <si>
    <t>私募证券投资基金委托资产资产估值表20250331三级科目.xlsx</t>
  </si>
  <si>
    <t>单位净值:1.2349</t>
  </si>
  <si>
    <t>3102.70</t>
  </si>
  <si>
    <t>上海能源交易所_投机_卖方_商品期货</t>
  </si>
  <si>
    <t>3102.70.01</t>
  </si>
  <si>
    <t>上海能源交易所_投机_卖方_商品期货_成本</t>
  </si>
  <si>
    <t>私募证券投资基金委托资产资产估值表20250430三级科目.xlsx</t>
  </si>
  <si>
    <t>单位净值:1.2495</t>
  </si>
  <si>
    <t>3102.01</t>
  </si>
  <si>
    <t>中金所_投机_买方_股指</t>
  </si>
  <si>
    <t>3102.01.01</t>
  </si>
  <si>
    <t>中金所_投机_买方_股指_成本</t>
  </si>
  <si>
    <t>3102.83</t>
  </si>
  <si>
    <t>广期所_投机_买方_商品期货</t>
  </si>
  <si>
    <t>3102.83.01</t>
  </si>
  <si>
    <t>广期所_投机_买方_商品期货_成本</t>
  </si>
  <si>
    <t>私募证券投资基金委托资产资产估值表20250530三级科目.xlsx</t>
  </si>
  <si>
    <t>单位净值:1.2451</t>
  </si>
  <si>
    <t>银行存款_活期</t>
    <phoneticPr fontId="1" type="noConversion"/>
  </si>
  <si>
    <t>科目代码</t>
    <phoneticPr fontId="1" type="noConversion"/>
  </si>
  <si>
    <t>其他应收款_募集期利息</t>
    <phoneticPr fontId="1" type="noConversion"/>
  </si>
  <si>
    <t>日期</t>
  </si>
  <si>
    <t>中金所_投机_买方_国债期货_成本</t>
    <phoneticPr fontId="1" type="noConversion"/>
  </si>
  <si>
    <t xml:space="preserve"> 2024-01-31</t>
  </si>
  <si>
    <t xml:space="preserve"> 2024-02-29</t>
  </si>
  <si>
    <t xml:space="preserve"> 2024-03-29</t>
  </si>
  <si>
    <t xml:space="preserve"> 2024-04-30</t>
  </si>
  <si>
    <t xml:space="preserve"> 2024-05-31</t>
  </si>
  <si>
    <t xml:space="preserve"> 2024-06-28</t>
  </si>
  <si>
    <t xml:space="preserve"> 2024-07-31</t>
  </si>
  <si>
    <t xml:space="preserve"> 2024-08-30</t>
  </si>
  <si>
    <t xml:space="preserve"> 2024-09-30</t>
  </si>
  <si>
    <t xml:space="preserve"> 2024-10-31</t>
  </si>
  <si>
    <t xml:space="preserve"> 2024-11-29</t>
  </si>
  <si>
    <t xml:space="preserve"> 2024-12-31</t>
  </si>
  <si>
    <t xml:space="preserve"> 2025-01-27</t>
  </si>
  <si>
    <t xml:space="preserve"> 2025-02-28</t>
  </si>
  <si>
    <t xml:space="preserve"> 2025-03-31</t>
  </si>
  <si>
    <t xml:space="preserve"> 2025-04-30</t>
  </si>
  <si>
    <t xml:space="preserve"> 2025-05-30</t>
  </si>
  <si>
    <r>
      <t xml:space="preserve">中金所投机买方 国债期货成本: </t>
    </r>
    <r>
      <rPr>
        <b/>
        <sz val="11"/>
        <color theme="1"/>
        <rFont val="宋体"/>
        <family val="3"/>
        <charset val="134"/>
        <scheme val="minor"/>
      </rPr>
      <t>市值占比</t>
    </r>
    <phoneticPr fontId="3" type="noConversion"/>
  </si>
  <si>
    <r>
      <t>中金所投机买方 国债期货成本：</t>
    </r>
    <r>
      <rPr>
        <b/>
        <sz val="11"/>
        <color theme="1"/>
        <rFont val="宋体"/>
        <family val="3"/>
        <charset val="134"/>
        <scheme val="minor"/>
      </rPr>
      <t>市值-本币</t>
    </r>
    <phoneticPr fontId="3" type="noConversion"/>
  </si>
  <si>
    <r>
      <t xml:space="preserve">上期所投机买方 商品成本: </t>
    </r>
    <r>
      <rPr>
        <b/>
        <sz val="11"/>
        <color theme="1"/>
        <rFont val="宋体"/>
        <family val="3"/>
        <charset val="134"/>
        <scheme val="minor"/>
      </rPr>
      <t>市值-本币</t>
    </r>
    <phoneticPr fontId="3" type="noConversion"/>
  </si>
  <si>
    <r>
      <t xml:space="preserve">上期所投机买方 商品成本: </t>
    </r>
    <r>
      <rPr>
        <b/>
        <sz val="11"/>
        <color theme="1"/>
        <rFont val="宋体"/>
        <family val="3"/>
        <charset val="134"/>
        <scheme val="minor"/>
      </rPr>
      <t>市值占比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</si>
</sst>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www.wps.cn/officeDocument/2023/relationships/customStorage" Target="customStorage/customStorage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市值</a:t>
            </a:r>
            <a:r>
              <a:rPr lang="en-US" altLang="zh-CN"/>
              <a:t>-</a:t>
            </a:r>
            <a:r>
              <a:rPr lang="zh-CN" altLang="en-US"/>
              <a:t>本币  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趋势数据!$B$1</c:f>
              <c:strCache>
                <c:ptCount val="1"/>
                <c:pt idx="0">
                  <c:v>中金所投机买方 国债期货成本：市值-本币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趋势数据!$A$2:$A$18</c:f>
              <c:strCache>
                <c:ptCount val="17"/>
                <c:pt idx="0">
                  <c:v> 2024-01-31</c:v>
                </c:pt>
                <c:pt idx="1">
                  <c:v> 2024-02-29</c:v>
                </c:pt>
                <c:pt idx="2">
                  <c:v> 2024-03-29</c:v>
                </c:pt>
                <c:pt idx="3">
                  <c:v> 2024-04-30</c:v>
                </c:pt>
                <c:pt idx="4">
                  <c:v> 2024-05-31</c:v>
                </c:pt>
                <c:pt idx="5">
                  <c:v> 2024-06-28</c:v>
                </c:pt>
                <c:pt idx="6">
                  <c:v> 2024-07-31</c:v>
                </c:pt>
                <c:pt idx="7">
                  <c:v> 2024-08-30</c:v>
                </c:pt>
                <c:pt idx="8">
                  <c:v> 2024-09-30</c:v>
                </c:pt>
                <c:pt idx="9">
                  <c:v> 2024-10-31</c:v>
                </c:pt>
                <c:pt idx="10">
                  <c:v> 2024-11-29</c:v>
                </c:pt>
                <c:pt idx="11">
                  <c:v> 2024-12-31</c:v>
                </c:pt>
                <c:pt idx="12">
                  <c:v> 2025-01-27</c:v>
                </c:pt>
                <c:pt idx="13">
                  <c:v> 2025-02-28</c:v>
                </c:pt>
                <c:pt idx="14">
                  <c:v> 2025-03-31</c:v>
                </c:pt>
                <c:pt idx="15">
                  <c:v> 2025-04-30</c:v>
                </c:pt>
                <c:pt idx="16">
                  <c:v> 2025-05-30</c:v>
                </c:pt>
              </c:strCache>
            </c:strRef>
          </c:cat>
          <c:val>
            <c:numRef>
              <c:f>趋势数据!$B$2:$B$18</c:f>
              <c:numCache>
                <c:formatCode>General</c:formatCode>
                <c:ptCount val="17"/>
                <c:pt idx="0">
                  <c:v>34123800</c:v>
                </c:pt>
                <c:pt idx="1">
                  <c:v>34149600</c:v>
                </c:pt>
                <c:pt idx="2">
                  <c:v>37227600</c:v>
                </c:pt>
                <c:pt idx="3">
                  <c:v>37207500</c:v>
                </c:pt>
                <c:pt idx="4">
                  <c:v>34211700</c:v>
                </c:pt>
                <c:pt idx="5">
                  <c:v>39645300</c:v>
                </c:pt>
                <c:pt idx="6">
                  <c:v>41990700</c:v>
                </c:pt>
                <c:pt idx="7">
                  <c:v>41921150</c:v>
                </c:pt>
                <c:pt idx="8">
                  <c:v>41921250</c:v>
                </c:pt>
                <c:pt idx="9">
                  <c:v>107705750</c:v>
                </c:pt>
                <c:pt idx="10">
                  <c:v>159125350</c:v>
                </c:pt>
                <c:pt idx="11">
                  <c:v>185538650</c:v>
                </c:pt>
                <c:pt idx="12">
                  <c:v>186195350</c:v>
                </c:pt>
                <c:pt idx="13">
                  <c:v>245675600</c:v>
                </c:pt>
                <c:pt idx="14">
                  <c:v>245044920</c:v>
                </c:pt>
                <c:pt idx="15">
                  <c:v>335644120</c:v>
                </c:pt>
                <c:pt idx="16">
                  <c:v>360816850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B9-4CBA-BA52-AC1DD8A30995}"/>
            </c:ext>
          </c:extLst>
        </c:ser>
        <c:ser>
          <c:idx val="1"/>
          <c:order val="1"/>
          <c:tx>
            <c:strRef>
              <c:f>趋势数据!$C$1</c:f>
              <c:strCache>
                <c:ptCount val="1"/>
                <c:pt idx="0">
                  <c:v>上期所投机买方 商品成本: 市值-本币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趋势数据!$A$2:$A$18</c:f>
              <c:strCache>
                <c:ptCount val="17"/>
                <c:pt idx="0">
                  <c:v> 2024-01-31</c:v>
                </c:pt>
                <c:pt idx="1">
                  <c:v> 2024-02-29</c:v>
                </c:pt>
                <c:pt idx="2">
                  <c:v> 2024-03-29</c:v>
                </c:pt>
                <c:pt idx="3">
                  <c:v> 2024-04-30</c:v>
                </c:pt>
                <c:pt idx="4">
                  <c:v> 2024-05-31</c:v>
                </c:pt>
                <c:pt idx="5">
                  <c:v> 2024-06-28</c:v>
                </c:pt>
                <c:pt idx="6">
                  <c:v> 2024-07-31</c:v>
                </c:pt>
                <c:pt idx="7">
                  <c:v> 2024-08-30</c:v>
                </c:pt>
                <c:pt idx="8">
                  <c:v> 2024-09-30</c:v>
                </c:pt>
                <c:pt idx="9">
                  <c:v> 2024-10-31</c:v>
                </c:pt>
                <c:pt idx="10">
                  <c:v> 2024-11-29</c:v>
                </c:pt>
                <c:pt idx="11">
                  <c:v> 2024-12-31</c:v>
                </c:pt>
                <c:pt idx="12">
                  <c:v> 2025-01-27</c:v>
                </c:pt>
                <c:pt idx="13">
                  <c:v> 2025-02-28</c:v>
                </c:pt>
                <c:pt idx="14">
                  <c:v> 2025-03-31</c:v>
                </c:pt>
                <c:pt idx="15">
                  <c:v> 2025-04-30</c:v>
                </c:pt>
                <c:pt idx="16">
                  <c:v> 2025-05-30</c:v>
                </c:pt>
              </c:strCache>
            </c:strRef>
          </c:cat>
          <c:val>
            <c:numRef>
              <c:f>趋势数据!$C$2:$C$18</c:f>
              <c:numCache>
                <c:formatCode>General</c:formatCode>
                <c:ptCount val="17"/>
                <c:pt idx="0">
                  <c:v>3446400</c:v>
                </c:pt>
                <c:pt idx="1">
                  <c:v>4274550</c:v>
                </c:pt>
                <c:pt idx="2">
                  <c:v>8247540</c:v>
                </c:pt>
                <c:pt idx="3">
                  <c:v>12701390</c:v>
                </c:pt>
                <c:pt idx="4">
                  <c:v>16368390</c:v>
                </c:pt>
                <c:pt idx="5">
                  <c:v>20220830</c:v>
                </c:pt>
                <c:pt idx="6">
                  <c:v>21112620</c:v>
                </c:pt>
                <c:pt idx="7">
                  <c:v>25034280</c:v>
                </c:pt>
                <c:pt idx="8">
                  <c:v>26489560</c:v>
                </c:pt>
                <c:pt idx="9">
                  <c:v>64620630</c:v>
                </c:pt>
                <c:pt idx="10">
                  <c:v>30967540</c:v>
                </c:pt>
                <c:pt idx="11">
                  <c:v>20961640</c:v>
                </c:pt>
                <c:pt idx="12">
                  <c:v>39706920</c:v>
                </c:pt>
                <c:pt idx="13">
                  <c:v>43914185</c:v>
                </c:pt>
                <c:pt idx="14">
                  <c:v>53873610</c:v>
                </c:pt>
                <c:pt idx="15">
                  <c:v>47776470</c:v>
                </c:pt>
                <c:pt idx="16">
                  <c:v>47577360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B9-4CBA-BA52-AC1DD8A30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6350" cap="flat" cmpd="sng" algn="ctr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</c:hiLowLines>
        <c:smooth val="0"/>
        <c:axId val="199848591"/>
        <c:axId val="199849551"/>
      </c:lineChart>
      <c:catAx>
        <c:axId val="19984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9849551"/>
        <c:crosses val="autoZero"/>
        <c:auto val="1"/>
        <c:lblAlgn val="ctr"/>
        <c:lblOffset val="100"/>
        <c:noMultiLvlLbl val="0"/>
      </c:catAx>
      <c:valAx>
        <c:axId val="1998495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984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市值占比  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趋势数据!$F$1</c:f>
              <c:strCache>
                <c:ptCount val="1"/>
                <c:pt idx="0">
                  <c:v>中金所投机买方 国债期货成本: 市值占比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趋势数据!$E$2:$E$18</c:f>
              <c:strCache>
                <c:ptCount val="17"/>
                <c:pt idx="0">
                  <c:v> 2024-01-31</c:v>
                </c:pt>
                <c:pt idx="1">
                  <c:v> 2024-02-29</c:v>
                </c:pt>
                <c:pt idx="2">
                  <c:v> 2024-03-29</c:v>
                </c:pt>
                <c:pt idx="3">
                  <c:v> 2024-04-30</c:v>
                </c:pt>
                <c:pt idx="4">
                  <c:v> 2024-05-31</c:v>
                </c:pt>
                <c:pt idx="5">
                  <c:v> 2024-06-28</c:v>
                </c:pt>
                <c:pt idx="6">
                  <c:v> 2024-07-31</c:v>
                </c:pt>
                <c:pt idx="7">
                  <c:v> 2024-08-30</c:v>
                </c:pt>
                <c:pt idx="8">
                  <c:v> 2024-09-30</c:v>
                </c:pt>
                <c:pt idx="9">
                  <c:v> 2024-10-31</c:v>
                </c:pt>
                <c:pt idx="10">
                  <c:v> 2024-11-29</c:v>
                </c:pt>
                <c:pt idx="11">
                  <c:v> 2024-12-31</c:v>
                </c:pt>
                <c:pt idx="12">
                  <c:v> 2025-01-27</c:v>
                </c:pt>
                <c:pt idx="13">
                  <c:v> 2025-02-28</c:v>
                </c:pt>
                <c:pt idx="14">
                  <c:v> 2025-03-31</c:v>
                </c:pt>
                <c:pt idx="15">
                  <c:v> 2025-04-30</c:v>
                </c:pt>
                <c:pt idx="16">
                  <c:v> 2025-05-30</c:v>
                </c:pt>
              </c:strCache>
            </c:strRef>
          </c:cat>
          <c:val>
            <c:numRef>
              <c:f>趋势数据!$F$2:$F$18</c:f>
              <c:numCache>
                <c:formatCode>General</c:formatCode>
                <c:ptCount val="17"/>
                <c:pt idx="0">
                  <c:v>2.2833239999999999</c:v>
                </c:pt>
                <c:pt idx="1">
                  <c:v>2.2625199999999999</c:v>
                </c:pt>
                <c:pt idx="2">
                  <c:v>2.0000640000000001</c:v>
                </c:pt>
                <c:pt idx="3">
                  <c:v>1.5208870000000001</c:v>
                </c:pt>
                <c:pt idx="4">
                  <c:v>1.198342</c:v>
                </c:pt>
                <c:pt idx="5">
                  <c:v>1.019385</c:v>
                </c:pt>
                <c:pt idx="6">
                  <c:v>1.028416</c:v>
                </c:pt>
                <c:pt idx="7">
                  <c:v>1.011193</c:v>
                </c:pt>
                <c:pt idx="8">
                  <c:v>0.899509</c:v>
                </c:pt>
                <c:pt idx="9">
                  <c:v>0.99368999999999996</c:v>
                </c:pt>
                <c:pt idx="10">
                  <c:v>1.4533290000000001</c:v>
                </c:pt>
                <c:pt idx="11">
                  <c:v>1.656612</c:v>
                </c:pt>
                <c:pt idx="12">
                  <c:v>1.6669780000000001</c:v>
                </c:pt>
                <c:pt idx="13">
                  <c:v>2.2526899999999999</c:v>
                </c:pt>
                <c:pt idx="14">
                  <c:v>2.2067770000000002</c:v>
                </c:pt>
                <c:pt idx="15">
                  <c:v>3.0496569999999998</c:v>
                </c:pt>
                <c:pt idx="16">
                  <c:v>3.5215380000000001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B9-4CBA-BA52-AC1DD8A30995}"/>
            </c:ext>
          </c:extLst>
        </c:ser>
        <c:ser>
          <c:idx val="1"/>
          <c:order val="1"/>
          <c:tx>
            <c:strRef>
              <c:f>趋势数据!$G$1</c:f>
              <c:strCache>
                <c:ptCount val="1"/>
                <c:pt idx="0">
                  <c:v>上期所投机买方 商品成本: 市值占比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趋势数据!$E$2:$E$18</c:f>
              <c:strCache>
                <c:ptCount val="17"/>
                <c:pt idx="0">
                  <c:v> 2024-01-31</c:v>
                </c:pt>
                <c:pt idx="1">
                  <c:v> 2024-02-29</c:v>
                </c:pt>
                <c:pt idx="2">
                  <c:v> 2024-03-29</c:v>
                </c:pt>
                <c:pt idx="3">
                  <c:v> 2024-04-30</c:v>
                </c:pt>
                <c:pt idx="4">
                  <c:v> 2024-05-31</c:v>
                </c:pt>
                <c:pt idx="5">
                  <c:v> 2024-06-28</c:v>
                </c:pt>
                <c:pt idx="6">
                  <c:v> 2024-07-31</c:v>
                </c:pt>
                <c:pt idx="7">
                  <c:v> 2024-08-30</c:v>
                </c:pt>
                <c:pt idx="8">
                  <c:v> 2024-09-30</c:v>
                </c:pt>
                <c:pt idx="9">
                  <c:v> 2024-10-31</c:v>
                </c:pt>
                <c:pt idx="10">
                  <c:v> 2024-11-29</c:v>
                </c:pt>
                <c:pt idx="11">
                  <c:v> 2024-12-31</c:v>
                </c:pt>
                <c:pt idx="12">
                  <c:v> 2025-01-27</c:v>
                </c:pt>
                <c:pt idx="13">
                  <c:v> 2025-02-28</c:v>
                </c:pt>
                <c:pt idx="14">
                  <c:v> 2025-03-31</c:v>
                </c:pt>
                <c:pt idx="15">
                  <c:v> 2025-04-30</c:v>
                </c:pt>
                <c:pt idx="16">
                  <c:v> 2025-05-30</c:v>
                </c:pt>
              </c:strCache>
            </c:strRef>
          </c:cat>
          <c:val>
            <c:numRef>
              <c:f>趋势数据!$G$2:$G$18</c:f>
              <c:numCache>
                <c:formatCode>General</c:formatCode>
                <c:ptCount val="17"/>
                <c:pt idx="0">
                  <c:v>0.23060900000000001</c:v>
                </c:pt>
                <c:pt idx="1">
                  <c:v>0.28320299999999998</c:v>
                </c:pt>
                <c:pt idx="2">
                  <c:v>0.443102</c:v>
                </c:pt>
                <c:pt idx="3">
                  <c:v>0.51917999999999997</c:v>
                </c:pt>
                <c:pt idx="4">
                  <c:v>0.57333999999999996</c:v>
                </c:pt>
                <c:pt idx="5">
                  <c:v>0.51993100000000003</c:v>
                </c:pt>
                <c:pt idx="6">
                  <c:v>0.51707999999999998</c:v>
                </c:pt>
                <c:pt idx="7">
                  <c:v>0.60385900000000003</c:v>
                </c:pt>
                <c:pt idx="8">
                  <c:v>0.56838900000000003</c:v>
                </c:pt>
                <c:pt idx="9">
                  <c:v>0.59618800000000005</c:v>
                </c:pt>
                <c:pt idx="10">
                  <c:v>0.28283399999999997</c:v>
                </c:pt>
                <c:pt idx="11">
                  <c:v>0.18715899999999999</c:v>
                </c:pt>
                <c:pt idx="12">
                  <c:v>0.35548999999999997</c:v>
                </c:pt>
                <c:pt idx="13">
                  <c:v>0.402665</c:v>
                </c:pt>
                <c:pt idx="14">
                  <c:v>0.48516399999999998</c:v>
                </c:pt>
                <c:pt idx="15">
                  <c:v>0.43409599999999998</c:v>
                </c:pt>
                <c:pt idx="16">
                  <c:v>0.46434999999999998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B9-4CBA-BA52-AC1DD8A30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6350" cap="flat" cmpd="sng" algn="ctr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</c:hiLowLines>
        <c:smooth val="0"/>
        <c:axId val="199848591"/>
        <c:axId val="199849551"/>
      </c:lineChart>
      <c:catAx>
        <c:axId val="19984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9849551"/>
        <c:crosses val="autoZero"/>
        <c:auto val="1"/>
        <c:lblAlgn val="ctr"/>
        <c:lblOffset val="100"/>
        <c:noMultiLvlLbl val="0"/>
      </c:catAx>
      <c:valAx>
        <c:axId val="1998495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984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311705</xdr:colOff>
      <xdr:row>18</xdr:row>
      <xdr:rowOff>80782</xdr:rowOff>
    </xdr:from>
    <xdr:to>
      <xdr:col>2</xdr:col>
      <xdr:colOff>2670927</xdr:colOff>
      <xdr:row>37</xdr:row>
      <xdr:rowOff>19639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C4FA14DA-4A3E-70D4-F892-F454BC9D8A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300610</xdr:colOff>
      <xdr:row>18</xdr:row>
      <xdr:rowOff>126607</xdr:rowOff>
    </xdr:from>
    <xdr:to>
      <xdr:col>6</xdr:col>
      <xdr:colOff>2094846</xdr:colOff>
      <xdr:row>37</xdr:row>
      <xdr:rowOff>91650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1BF05F44-05EF-DAE4-709F-36157D1EF0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红橙色">
    <a:dk1>
      <a:sysClr val="windowText" lastClr="000000"/>
    </a:dk1>
    <a:lt1>
      <a:sysClr val="window" lastClr="FFFFFF"/>
    </a:lt1>
    <a:dk2>
      <a:srgbClr val="505046"/>
    </a:dk2>
    <a:lt2>
      <a:srgbClr val="EEECE1"/>
    </a:lt2>
    <a:accent1>
      <a:srgbClr val="E84C22"/>
    </a:accent1>
    <a:accent2>
      <a:srgbClr val="FFBD47"/>
    </a:accent2>
    <a:accent3>
      <a:srgbClr val="B64926"/>
    </a:accent3>
    <a:accent4>
      <a:srgbClr val="FF8427"/>
    </a:accent4>
    <a:accent5>
      <a:srgbClr val="CC9900"/>
    </a:accent5>
    <a:accent6>
      <a:srgbClr val="B22600"/>
    </a:accent6>
    <a:hlink>
      <a:srgbClr val="CC9900"/>
    </a:hlink>
    <a:folHlink>
      <a:srgbClr val="666699"/>
    </a:folHlink>
  </a:clrScheme>
  <a:fontScheme name="自定义 2">
    <a:majorFont>
      <a:latin typeface="Arial"/>
      <a:ea typeface="微软雅黑"/>
      <a:cs typeface=""/>
    </a:majorFont>
    <a:minorFont>
      <a:latin typeface="Arial"/>
      <a:ea typeface="微软雅黑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红橙色">
    <a:dk1>
      <a:sysClr val="windowText" lastClr="000000"/>
    </a:dk1>
    <a:lt1>
      <a:sysClr val="window" lastClr="FFFFFF"/>
    </a:lt1>
    <a:dk2>
      <a:srgbClr val="505046"/>
    </a:dk2>
    <a:lt2>
      <a:srgbClr val="EEECE1"/>
    </a:lt2>
    <a:accent1>
      <a:srgbClr val="E84C22"/>
    </a:accent1>
    <a:accent2>
      <a:srgbClr val="FFBD47"/>
    </a:accent2>
    <a:accent3>
      <a:srgbClr val="B64926"/>
    </a:accent3>
    <a:accent4>
      <a:srgbClr val="FF8427"/>
    </a:accent4>
    <a:accent5>
      <a:srgbClr val="CC9900"/>
    </a:accent5>
    <a:accent6>
      <a:srgbClr val="B22600"/>
    </a:accent6>
    <a:hlink>
      <a:srgbClr val="CC9900"/>
    </a:hlink>
    <a:folHlink>
      <a:srgbClr val="666699"/>
    </a:folHlink>
  </a:clrScheme>
  <a:fontScheme name="自定义 2">
    <a:majorFont>
      <a:latin typeface="Arial"/>
      <a:ea typeface="微软雅黑"/>
      <a:cs typeface=""/>
    </a:majorFont>
    <a:minorFont>
      <a:latin typeface="Arial"/>
      <a:ea typeface="微软雅黑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33"/>
  <sheetViews>
    <sheetView zoomScale="87" zoomScaleNormal="87" workbookViewId="0">
      <selection activeCell="B39" sqref="B39"/>
    </sheetView>
  </sheetViews>
  <sheetFormatPr defaultColWidth="9" defaultRowHeight="14" x14ac:dyDescent="0.25"/>
  <cols>
    <col min="1" max="1" width="62.36328125" customWidth="1"/>
    <col min="2" max="2" width="43.26953125" customWidth="1"/>
    <col min="3" max="3" width="17.36328125" customWidth="1"/>
  </cols>
  <sheetData>
    <row r="1" spans="1:6" x14ac:dyDescent="0.25">
      <c r="A1" t="s">
        <v>0</v>
      </c>
      <c r="B1" s="1" t="s">
        <v>160</v>
      </c>
      <c r="C1" t="s">
        <v>1</v>
      </c>
      <c r="D1" t="s">
        <v>2</v>
      </c>
      <c r="E1" t="s">
        <v>2</v>
      </c>
      <c r="F1" t="s">
        <v>2</v>
      </c>
    </row>
    <row r="2" spans="1:6" x14ac:dyDescent="0.25">
      <c r="A2" s="1" t="s">
        <v>156</v>
      </c>
      <c r="B2" t="s">
        <v>4</v>
      </c>
      <c r="C2" t="s">
        <v>5</v>
      </c>
      <c r="D2" t="s">
        <v>6</v>
      </c>
      <c r="E2" t="s">
        <v>7</v>
      </c>
      <c r="F2" t="s">
        <v>8</v>
      </c>
    </row>
    <row r="3" spans="1:6" x14ac:dyDescent="0.25">
      <c r="A3" t="s">
        <v>9</v>
      </c>
      <c r="B3" t="s">
        <v>10</v>
      </c>
      <c r="C3">
        <v>100066.71</v>
      </c>
      <c r="D3">
        <v>6.6959999999999997E-3</v>
      </c>
      <c r="E3" t="s">
        <v>2</v>
      </c>
      <c r="F3" t="s">
        <v>2</v>
      </c>
    </row>
    <row r="4" spans="1:6" x14ac:dyDescent="0.25">
      <c r="A4" t="s">
        <v>11</v>
      </c>
      <c r="B4" t="s">
        <v>12</v>
      </c>
      <c r="C4">
        <v>98800</v>
      </c>
      <c r="D4">
        <v>6.6109999999999997E-3</v>
      </c>
      <c r="E4" t="s">
        <v>2</v>
      </c>
      <c r="F4" t="s">
        <v>2</v>
      </c>
    </row>
    <row r="5" spans="1:6" x14ac:dyDescent="0.25">
      <c r="A5" t="s">
        <v>13</v>
      </c>
      <c r="B5" t="s">
        <v>14</v>
      </c>
      <c r="C5">
        <v>1266.71</v>
      </c>
      <c r="D5">
        <v>8.5000000000000006E-5</v>
      </c>
      <c r="E5" t="s">
        <v>2</v>
      </c>
      <c r="F5" t="s">
        <v>2</v>
      </c>
    </row>
    <row r="6" spans="1:6" x14ac:dyDescent="0.25">
      <c r="A6" t="s">
        <v>15</v>
      </c>
      <c r="B6" t="s">
        <v>16</v>
      </c>
      <c r="C6">
        <v>5390337.9199999999</v>
      </c>
      <c r="D6">
        <v>0.36068299999999998</v>
      </c>
      <c r="E6" t="s">
        <v>2</v>
      </c>
      <c r="F6" t="s">
        <v>2</v>
      </c>
    </row>
    <row r="7" spans="1:6" x14ac:dyDescent="0.25">
      <c r="A7" t="s">
        <v>17</v>
      </c>
      <c r="B7" t="s">
        <v>18</v>
      </c>
      <c r="C7">
        <v>6298072.4199999999</v>
      </c>
      <c r="D7">
        <v>0.42142299999999999</v>
      </c>
      <c r="E7" t="s">
        <v>2</v>
      </c>
      <c r="F7" t="s">
        <v>2</v>
      </c>
    </row>
    <row r="8" spans="1:6" x14ac:dyDescent="0.25">
      <c r="A8" t="s">
        <v>19</v>
      </c>
      <c r="B8" t="s">
        <v>20</v>
      </c>
      <c r="C8">
        <v>4269068.38</v>
      </c>
      <c r="D8">
        <v>0.28565600000000002</v>
      </c>
      <c r="E8" t="s">
        <v>2</v>
      </c>
      <c r="F8" t="s">
        <v>2</v>
      </c>
    </row>
    <row r="9" spans="1:6" x14ac:dyDescent="0.25">
      <c r="A9" t="s">
        <v>21</v>
      </c>
      <c r="B9" t="s">
        <v>22</v>
      </c>
      <c r="C9">
        <v>70.94</v>
      </c>
      <c r="D9">
        <v>5.0000000000000004E-6</v>
      </c>
      <c r="E9" t="s">
        <v>2</v>
      </c>
      <c r="F9" t="s">
        <v>2</v>
      </c>
    </row>
    <row r="10" spans="1:6" x14ac:dyDescent="0.25">
      <c r="A10" t="s">
        <v>23</v>
      </c>
      <c r="B10" t="s">
        <v>24</v>
      </c>
      <c r="C10">
        <v>3167711</v>
      </c>
      <c r="D10">
        <v>0.21196100000000001</v>
      </c>
      <c r="E10">
        <v>-62300</v>
      </c>
      <c r="F10" t="s">
        <v>2</v>
      </c>
    </row>
    <row r="11" spans="1:6" x14ac:dyDescent="0.25">
      <c r="A11" t="s">
        <v>25</v>
      </c>
      <c r="B11" t="s">
        <v>26</v>
      </c>
      <c r="C11">
        <v>2736493</v>
      </c>
      <c r="D11">
        <v>0.18310699999999999</v>
      </c>
      <c r="E11">
        <v>-41642</v>
      </c>
      <c r="F11" t="s">
        <v>2</v>
      </c>
    </row>
    <row r="12" spans="1:6" x14ac:dyDescent="0.25">
      <c r="A12" t="s">
        <v>27</v>
      </c>
      <c r="B12" t="s">
        <v>28</v>
      </c>
      <c r="C12">
        <v>356276</v>
      </c>
      <c r="D12">
        <v>2.3838999999999999E-2</v>
      </c>
      <c r="E12">
        <v>-13419</v>
      </c>
      <c r="F12" t="s">
        <v>2</v>
      </c>
    </row>
    <row r="13" spans="1:6" x14ac:dyDescent="0.25">
      <c r="A13" t="s">
        <v>29</v>
      </c>
      <c r="B13" t="s">
        <v>30</v>
      </c>
      <c r="C13">
        <v>74942</v>
      </c>
      <c r="D13">
        <v>5.0150000000000004E-3</v>
      </c>
      <c r="E13">
        <v>-7239</v>
      </c>
      <c r="F13" t="s">
        <v>2</v>
      </c>
    </row>
    <row r="14" spans="1:6" x14ac:dyDescent="0.25">
      <c r="A14" t="s">
        <v>31</v>
      </c>
      <c r="B14" t="s">
        <v>32</v>
      </c>
      <c r="C14">
        <v>208.32</v>
      </c>
      <c r="D14">
        <v>1.4E-5</v>
      </c>
      <c r="E14" t="s">
        <v>2</v>
      </c>
      <c r="F14" t="s">
        <v>2</v>
      </c>
    </row>
    <row r="15" spans="1:6" x14ac:dyDescent="0.25">
      <c r="A15" t="s">
        <v>33</v>
      </c>
      <c r="B15" s="1" t="s">
        <v>157</v>
      </c>
      <c r="C15">
        <v>208.32</v>
      </c>
      <c r="D15">
        <v>1.4E-5</v>
      </c>
      <c r="E15" t="s">
        <v>2</v>
      </c>
      <c r="F15" t="s">
        <v>2</v>
      </c>
    </row>
    <row r="16" spans="1:6" x14ac:dyDescent="0.25">
      <c r="A16" t="s">
        <v>35</v>
      </c>
      <c r="B16" t="s">
        <v>36</v>
      </c>
      <c r="C16">
        <v>-19340</v>
      </c>
      <c r="D16">
        <v>-1.294E-3</v>
      </c>
      <c r="E16">
        <v>-19340</v>
      </c>
      <c r="F16" t="s">
        <v>2</v>
      </c>
    </row>
    <row r="17" spans="1:6" x14ac:dyDescent="0.25">
      <c r="A17" t="s">
        <v>37</v>
      </c>
      <c r="B17" t="s">
        <v>38</v>
      </c>
      <c r="C17">
        <v>94700</v>
      </c>
      <c r="D17">
        <v>6.3369999999999998E-3</v>
      </c>
      <c r="E17">
        <v>94700</v>
      </c>
      <c r="F17" t="s">
        <v>2</v>
      </c>
    </row>
    <row r="18" spans="1:6" x14ac:dyDescent="0.25">
      <c r="A18" t="s">
        <v>39</v>
      </c>
      <c r="B18" s="1" t="s">
        <v>159</v>
      </c>
      <c r="C18">
        <v>34123800</v>
      </c>
      <c r="D18">
        <v>2.2833239999999999</v>
      </c>
      <c r="E18">
        <v>94700</v>
      </c>
      <c r="F18" t="s">
        <v>2</v>
      </c>
    </row>
    <row r="19" spans="1:6" x14ac:dyDescent="0.25">
      <c r="A19" t="s">
        <v>41</v>
      </c>
      <c r="B19" t="s">
        <v>42</v>
      </c>
      <c r="C19">
        <v>14250</v>
      </c>
      <c r="D19">
        <v>9.5399999999999999E-4</v>
      </c>
      <c r="E19">
        <v>14250</v>
      </c>
      <c r="F19" t="s">
        <v>2</v>
      </c>
    </row>
    <row r="20" spans="1:6" x14ac:dyDescent="0.25">
      <c r="A20" t="s">
        <v>43</v>
      </c>
      <c r="B20" t="s">
        <v>44</v>
      </c>
      <c r="C20">
        <v>3446400</v>
      </c>
      <c r="D20">
        <v>0.23060900000000001</v>
      </c>
      <c r="E20">
        <v>14250</v>
      </c>
      <c r="F20" t="s">
        <v>2</v>
      </c>
    </row>
    <row r="21" spans="1:6" x14ac:dyDescent="0.25">
      <c r="A21" t="s">
        <v>45</v>
      </c>
      <c r="B21" t="s">
        <v>46</v>
      </c>
      <c r="C21">
        <v>-21770</v>
      </c>
      <c r="D21">
        <v>-1.457E-3</v>
      </c>
      <c r="E21">
        <v>-21770</v>
      </c>
      <c r="F21" t="s">
        <v>2</v>
      </c>
    </row>
    <row r="22" spans="1:6" x14ac:dyDescent="0.25">
      <c r="A22" t="s">
        <v>47</v>
      </c>
      <c r="B22" t="s">
        <v>48</v>
      </c>
      <c r="C22">
        <v>3230620</v>
      </c>
      <c r="D22">
        <v>0.21617</v>
      </c>
      <c r="E22">
        <v>-21770</v>
      </c>
      <c r="F22" t="s">
        <v>2</v>
      </c>
    </row>
    <row r="23" spans="1:6" x14ac:dyDescent="0.25">
      <c r="A23" t="s">
        <v>49</v>
      </c>
      <c r="B23" t="s">
        <v>50</v>
      </c>
      <c r="C23">
        <v>-85060</v>
      </c>
      <c r="D23">
        <v>-5.692E-3</v>
      </c>
      <c r="E23">
        <v>-85060</v>
      </c>
      <c r="F23" t="s">
        <v>2</v>
      </c>
    </row>
    <row r="24" spans="1:6" x14ac:dyDescent="0.25">
      <c r="A24" t="s">
        <v>51</v>
      </c>
      <c r="B24" t="s">
        <v>52</v>
      </c>
      <c r="C24">
        <v>3285740</v>
      </c>
      <c r="D24">
        <v>0.219859</v>
      </c>
      <c r="E24">
        <v>-85060</v>
      </c>
      <c r="F24" t="s">
        <v>2</v>
      </c>
    </row>
    <row r="25" spans="1:6" x14ac:dyDescent="0.25">
      <c r="A25" t="s">
        <v>53</v>
      </c>
      <c r="B25" t="s">
        <v>54</v>
      </c>
      <c r="C25">
        <v>-7160</v>
      </c>
      <c r="D25">
        <v>-4.7899999999999999E-4</v>
      </c>
      <c r="E25">
        <v>-7160</v>
      </c>
      <c r="F25" t="s">
        <v>2</v>
      </c>
    </row>
    <row r="26" spans="1:6" x14ac:dyDescent="0.25">
      <c r="A26" t="s">
        <v>55</v>
      </c>
      <c r="B26" t="s">
        <v>56</v>
      </c>
      <c r="C26">
        <v>-4242880</v>
      </c>
      <c r="D26">
        <v>-0.28390399999999999</v>
      </c>
      <c r="E26">
        <v>-7160</v>
      </c>
      <c r="F26" t="s">
        <v>2</v>
      </c>
    </row>
    <row r="27" spans="1:6" x14ac:dyDescent="0.25">
      <c r="A27" t="s">
        <v>57</v>
      </c>
      <c r="B27" t="s">
        <v>58</v>
      </c>
      <c r="C27">
        <v>-14300</v>
      </c>
      <c r="D27">
        <v>-9.5699999999999995E-4</v>
      </c>
      <c r="E27">
        <v>-14300</v>
      </c>
      <c r="F27" t="s">
        <v>2</v>
      </c>
    </row>
    <row r="28" spans="1:6" x14ac:dyDescent="0.25">
      <c r="A28" t="s">
        <v>59</v>
      </c>
      <c r="B28" t="s">
        <v>60</v>
      </c>
      <c r="C28">
        <v>583100</v>
      </c>
      <c r="D28">
        <v>3.9017000000000003E-2</v>
      </c>
      <c r="E28">
        <v>-14300</v>
      </c>
      <c r="F28" t="s">
        <v>2</v>
      </c>
    </row>
    <row r="29" spans="1:6" x14ac:dyDescent="0.25">
      <c r="A29" t="s">
        <v>61</v>
      </c>
      <c r="B29" t="s">
        <v>2</v>
      </c>
      <c r="C29" t="s">
        <v>2</v>
      </c>
      <c r="D29">
        <v>0.21196100000000001</v>
      </c>
      <c r="E29" t="s">
        <v>2</v>
      </c>
      <c r="F29" t="s">
        <v>2</v>
      </c>
    </row>
    <row r="30" spans="1:6" x14ac:dyDescent="0.25">
      <c r="A30" t="s">
        <v>62</v>
      </c>
      <c r="B30" t="s">
        <v>2</v>
      </c>
      <c r="C30" t="s">
        <v>2</v>
      </c>
      <c r="D30">
        <v>2.7050749999999999</v>
      </c>
      <c r="E30" t="s">
        <v>2</v>
      </c>
      <c r="F30" t="s">
        <v>2</v>
      </c>
    </row>
    <row r="31" spans="1:6" x14ac:dyDescent="0.25">
      <c r="A31" t="s">
        <v>63</v>
      </c>
      <c r="B31" t="s">
        <v>2</v>
      </c>
      <c r="C31" t="s">
        <v>2</v>
      </c>
      <c r="D31">
        <v>0.21196100000000001</v>
      </c>
      <c r="E31" t="s">
        <v>2</v>
      </c>
      <c r="F31" t="s">
        <v>2</v>
      </c>
    </row>
    <row r="32" spans="1:6" x14ac:dyDescent="0.25">
      <c r="A32" t="s">
        <v>64</v>
      </c>
      <c r="B32" t="s">
        <v>2</v>
      </c>
      <c r="C32" t="s">
        <v>2</v>
      </c>
      <c r="D32">
        <v>0.18310699999999999</v>
      </c>
      <c r="E32" t="s">
        <v>2</v>
      </c>
      <c r="F32" t="s">
        <v>2</v>
      </c>
    </row>
    <row r="33" spans="1:6" x14ac:dyDescent="0.25">
      <c r="A33" t="s">
        <v>65</v>
      </c>
      <c r="B33" t="s">
        <v>2</v>
      </c>
      <c r="C33" t="s">
        <v>2</v>
      </c>
      <c r="D33">
        <v>2.8854000000000001E-2</v>
      </c>
      <c r="E33" t="s">
        <v>2</v>
      </c>
      <c r="F33" t="s">
        <v>2</v>
      </c>
    </row>
    <row r="34" spans="1:6" x14ac:dyDescent="0.25">
      <c r="A34" t="s">
        <v>66</v>
      </c>
      <c r="B34" t="s">
        <v>2</v>
      </c>
      <c r="C34" t="s">
        <v>2</v>
      </c>
      <c r="D34">
        <v>5.0150000000000004E-3</v>
      </c>
      <c r="E34" t="s">
        <v>2</v>
      </c>
      <c r="F34" t="s">
        <v>2</v>
      </c>
    </row>
    <row r="35" spans="1:6" x14ac:dyDescent="0.25">
      <c r="A35" t="s">
        <v>2</v>
      </c>
      <c r="B35" t="s">
        <v>2</v>
      </c>
      <c r="C35" t="s">
        <v>2</v>
      </c>
      <c r="D35" t="s">
        <v>2</v>
      </c>
      <c r="E35" t="s">
        <v>2</v>
      </c>
      <c r="F35" t="s">
        <v>2</v>
      </c>
    </row>
    <row r="36" spans="1:6" x14ac:dyDescent="0.25">
      <c r="A36" t="s">
        <v>67</v>
      </c>
      <c r="B36" t="s">
        <v>161</v>
      </c>
      <c r="C36" t="s">
        <v>68</v>
      </c>
      <c r="D36" t="s">
        <v>2</v>
      </c>
      <c r="E36" t="s">
        <v>2</v>
      </c>
      <c r="F36" t="s">
        <v>2</v>
      </c>
    </row>
    <row r="37" spans="1:6" x14ac:dyDescent="0.25">
      <c r="A37" t="s">
        <v>3</v>
      </c>
      <c r="B37" t="s">
        <v>4</v>
      </c>
      <c r="C37" t="s">
        <v>5</v>
      </c>
      <c r="D37" t="s">
        <v>6</v>
      </c>
      <c r="E37" t="s">
        <v>7</v>
      </c>
      <c r="F37" t="s">
        <v>8</v>
      </c>
    </row>
    <row r="38" spans="1:6" x14ac:dyDescent="0.25">
      <c r="A38" t="s">
        <v>9</v>
      </c>
      <c r="B38" t="s">
        <v>10</v>
      </c>
      <c r="C38">
        <v>98813.46</v>
      </c>
      <c r="D38">
        <v>6.5469999999999999E-3</v>
      </c>
      <c r="E38" t="s">
        <v>2</v>
      </c>
      <c r="F38" t="s">
        <v>2</v>
      </c>
    </row>
    <row r="39" spans="1:6" x14ac:dyDescent="0.25">
      <c r="A39" t="s">
        <v>11</v>
      </c>
      <c r="B39" t="s">
        <v>12</v>
      </c>
      <c r="C39">
        <v>97519.16</v>
      </c>
      <c r="D39">
        <v>6.4609999999999997E-3</v>
      </c>
      <c r="E39" t="s">
        <v>2</v>
      </c>
      <c r="F39" t="s">
        <v>2</v>
      </c>
    </row>
    <row r="40" spans="1:6" x14ac:dyDescent="0.25">
      <c r="A40" t="s">
        <v>13</v>
      </c>
      <c r="B40" t="s">
        <v>14</v>
      </c>
      <c r="C40">
        <v>1294.3</v>
      </c>
      <c r="D40">
        <v>8.6000000000000003E-5</v>
      </c>
      <c r="E40" t="s">
        <v>2</v>
      </c>
      <c r="F40" t="s">
        <v>2</v>
      </c>
    </row>
    <row r="41" spans="1:6" x14ac:dyDescent="0.25">
      <c r="A41" t="s">
        <v>15</v>
      </c>
      <c r="B41" t="s">
        <v>16</v>
      </c>
      <c r="C41">
        <v>2903413.5</v>
      </c>
      <c r="D41">
        <v>0.19236</v>
      </c>
      <c r="E41" t="s">
        <v>2</v>
      </c>
      <c r="F41" t="s">
        <v>2</v>
      </c>
    </row>
    <row r="42" spans="1:6" x14ac:dyDescent="0.25">
      <c r="A42" t="s">
        <v>17</v>
      </c>
      <c r="B42" t="s">
        <v>18</v>
      </c>
      <c r="C42">
        <v>2435525.17</v>
      </c>
      <c r="D42">
        <v>0.161361</v>
      </c>
      <c r="E42" t="s">
        <v>2</v>
      </c>
      <c r="F42" t="s">
        <v>2</v>
      </c>
    </row>
    <row r="43" spans="1:6" x14ac:dyDescent="0.25">
      <c r="A43" t="s">
        <v>19</v>
      </c>
      <c r="B43" t="s">
        <v>20</v>
      </c>
      <c r="C43">
        <v>186915.14</v>
      </c>
      <c r="D43">
        <v>1.2383999999999999E-2</v>
      </c>
      <c r="E43" t="s">
        <v>2</v>
      </c>
      <c r="F43" t="s">
        <v>2</v>
      </c>
    </row>
    <row r="44" spans="1:6" x14ac:dyDescent="0.25">
      <c r="A44" t="s">
        <v>21</v>
      </c>
      <c r="B44" t="s">
        <v>22</v>
      </c>
      <c r="C44">
        <v>115.22</v>
      </c>
      <c r="D44">
        <v>7.9999999999999996E-6</v>
      </c>
      <c r="E44" t="s">
        <v>2</v>
      </c>
      <c r="F44" t="s">
        <v>2</v>
      </c>
    </row>
    <row r="45" spans="1:6" x14ac:dyDescent="0.25">
      <c r="A45" t="s">
        <v>23</v>
      </c>
      <c r="B45" t="s">
        <v>24</v>
      </c>
      <c r="C45">
        <v>3340065.19</v>
      </c>
      <c r="D45">
        <v>0.22128999999999999</v>
      </c>
      <c r="E45">
        <v>183025.28</v>
      </c>
      <c r="F45" t="s">
        <v>2</v>
      </c>
    </row>
    <row r="46" spans="1:6" x14ac:dyDescent="0.25">
      <c r="A46" t="s">
        <v>25</v>
      </c>
      <c r="B46" t="s">
        <v>26</v>
      </c>
      <c r="C46">
        <v>2472463</v>
      </c>
      <c r="D46">
        <v>0.16380900000000001</v>
      </c>
      <c r="E46">
        <v>152013.1</v>
      </c>
      <c r="F46" t="s">
        <v>2</v>
      </c>
    </row>
    <row r="47" spans="1:6" x14ac:dyDescent="0.25">
      <c r="A47" t="s">
        <v>27</v>
      </c>
      <c r="B47" t="s">
        <v>28</v>
      </c>
      <c r="C47">
        <v>661144</v>
      </c>
      <c r="D47">
        <v>4.3803000000000002E-2</v>
      </c>
      <c r="E47">
        <v>26622.1</v>
      </c>
      <c r="F47" t="s">
        <v>2</v>
      </c>
    </row>
    <row r="48" spans="1:6" x14ac:dyDescent="0.25">
      <c r="A48" t="s">
        <v>69</v>
      </c>
      <c r="B48" t="s">
        <v>70</v>
      </c>
      <c r="C48">
        <v>206458.19</v>
      </c>
      <c r="D48">
        <v>1.3679E-2</v>
      </c>
      <c r="E48">
        <v>4390.08</v>
      </c>
      <c r="F48" t="s">
        <v>2</v>
      </c>
    </row>
    <row r="49" spans="1:6" x14ac:dyDescent="0.25">
      <c r="A49" t="s">
        <v>71</v>
      </c>
      <c r="B49" t="s">
        <v>72</v>
      </c>
      <c r="C49">
        <v>6356674.0300000003</v>
      </c>
      <c r="D49">
        <v>0.42115000000000002</v>
      </c>
      <c r="E49">
        <v>-2414.9699999999998</v>
      </c>
      <c r="F49" t="s">
        <v>2</v>
      </c>
    </row>
    <row r="50" spans="1:6" x14ac:dyDescent="0.25">
      <c r="A50" t="s">
        <v>73</v>
      </c>
      <c r="B50" t="s">
        <v>74</v>
      </c>
      <c r="C50">
        <v>6356674.0300000003</v>
      </c>
      <c r="D50">
        <v>0.42115000000000002</v>
      </c>
      <c r="E50">
        <v>-2414.9699999999998</v>
      </c>
      <c r="F50" t="s">
        <v>2</v>
      </c>
    </row>
    <row r="51" spans="1:6" x14ac:dyDescent="0.25">
      <c r="A51" t="s">
        <v>31</v>
      </c>
      <c r="B51" t="s">
        <v>32</v>
      </c>
      <c r="C51">
        <v>208.32</v>
      </c>
      <c r="D51">
        <v>1.4E-5</v>
      </c>
      <c r="E51" t="s">
        <v>2</v>
      </c>
      <c r="F51" t="s">
        <v>2</v>
      </c>
    </row>
    <row r="52" spans="1:6" x14ac:dyDescent="0.25">
      <c r="A52" t="s">
        <v>33</v>
      </c>
      <c r="B52" t="s">
        <v>34</v>
      </c>
      <c r="C52">
        <v>208.32</v>
      </c>
      <c r="D52">
        <v>1.4E-5</v>
      </c>
      <c r="E52" t="s">
        <v>2</v>
      </c>
      <c r="F52" t="s">
        <v>2</v>
      </c>
    </row>
    <row r="53" spans="1:6" x14ac:dyDescent="0.25">
      <c r="A53" t="s">
        <v>35</v>
      </c>
      <c r="B53" t="s">
        <v>36</v>
      </c>
      <c r="C53">
        <v>-129937.92</v>
      </c>
      <c r="D53">
        <v>-8.6090000000000003E-3</v>
      </c>
      <c r="E53">
        <v>-129937.92</v>
      </c>
      <c r="F53" t="s">
        <v>2</v>
      </c>
    </row>
    <row r="54" spans="1:6" x14ac:dyDescent="0.25">
      <c r="A54" t="s">
        <v>37</v>
      </c>
      <c r="B54" t="s">
        <v>38</v>
      </c>
      <c r="C54">
        <v>4250</v>
      </c>
      <c r="D54">
        <v>2.8200000000000002E-4</v>
      </c>
      <c r="E54">
        <v>4250</v>
      </c>
      <c r="F54" t="s">
        <v>2</v>
      </c>
    </row>
    <row r="55" spans="1:6" x14ac:dyDescent="0.25">
      <c r="A55" t="s">
        <v>39</v>
      </c>
      <c r="B55" t="s">
        <v>40</v>
      </c>
      <c r="C55">
        <v>34149600</v>
      </c>
      <c r="D55">
        <v>2.2625199999999999</v>
      </c>
      <c r="E55">
        <v>4250</v>
      </c>
      <c r="F55" t="s">
        <v>2</v>
      </c>
    </row>
    <row r="56" spans="1:6" x14ac:dyDescent="0.25">
      <c r="A56" t="s">
        <v>41</v>
      </c>
      <c r="B56" t="s">
        <v>42</v>
      </c>
      <c r="C56">
        <v>16200</v>
      </c>
      <c r="D56">
        <v>1.073E-3</v>
      </c>
      <c r="E56">
        <v>16200</v>
      </c>
      <c r="F56" t="s">
        <v>2</v>
      </c>
    </row>
    <row r="57" spans="1:6" x14ac:dyDescent="0.25">
      <c r="A57" t="s">
        <v>43</v>
      </c>
      <c r="B57" t="s">
        <v>44</v>
      </c>
      <c r="C57">
        <v>4274550</v>
      </c>
      <c r="D57">
        <v>0.28320299999999998</v>
      </c>
      <c r="E57">
        <v>16200</v>
      </c>
      <c r="F57" t="s">
        <v>2</v>
      </c>
    </row>
    <row r="58" spans="1:6" x14ac:dyDescent="0.25">
      <c r="A58" t="s">
        <v>45</v>
      </c>
      <c r="B58" t="s">
        <v>46</v>
      </c>
      <c r="C58">
        <v>-38006.67</v>
      </c>
      <c r="D58">
        <v>-2.5179999999999998E-3</v>
      </c>
      <c r="E58">
        <v>-38006.67</v>
      </c>
      <c r="F58" t="s">
        <v>2</v>
      </c>
    </row>
    <row r="59" spans="1:6" x14ac:dyDescent="0.25">
      <c r="A59" t="s">
        <v>47</v>
      </c>
      <c r="B59" t="s">
        <v>48</v>
      </c>
      <c r="C59">
        <v>2754150</v>
      </c>
      <c r="D59">
        <v>0.18247099999999999</v>
      </c>
      <c r="E59">
        <v>-38006.67</v>
      </c>
      <c r="F59" t="s">
        <v>2</v>
      </c>
    </row>
    <row r="60" spans="1:6" x14ac:dyDescent="0.25">
      <c r="A60" t="s">
        <v>49</v>
      </c>
      <c r="B60" t="s">
        <v>50</v>
      </c>
      <c r="C60">
        <v>-131201.25</v>
      </c>
      <c r="D60">
        <v>-8.6929999999999993E-3</v>
      </c>
      <c r="E60">
        <v>-131201.25</v>
      </c>
      <c r="F60" t="s">
        <v>2</v>
      </c>
    </row>
    <row r="61" spans="1:6" x14ac:dyDescent="0.25">
      <c r="A61" t="s">
        <v>51</v>
      </c>
      <c r="B61" t="s">
        <v>52</v>
      </c>
      <c r="C61">
        <v>2729930</v>
      </c>
      <c r="D61">
        <v>0.180867</v>
      </c>
      <c r="E61">
        <v>-131201.25</v>
      </c>
      <c r="F61" t="s">
        <v>2</v>
      </c>
    </row>
    <row r="62" spans="1:6" x14ac:dyDescent="0.25">
      <c r="A62" t="s">
        <v>53</v>
      </c>
      <c r="B62" t="s">
        <v>54</v>
      </c>
      <c r="C62">
        <v>4620</v>
      </c>
      <c r="D62">
        <v>3.0600000000000001E-4</v>
      </c>
      <c r="E62">
        <v>4620</v>
      </c>
      <c r="F62" t="s">
        <v>2</v>
      </c>
    </row>
    <row r="63" spans="1:6" x14ac:dyDescent="0.25">
      <c r="A63" t="s">
        <v>55</v>
      </c>
      <c r="B63" t="s">
        <v>56</v>
      </c>
      <c r="C63">
        <v>-6109725</v>
      </c>
      <c r="D63">
        <v>-0.40478900000000001</v>
      </c>
      <c r="E63">
        <v>4620</v>
      </c>
      <c r="F63" t="s">
        <v>2</v>
      </c>
    </row>
    <row r="64" spans="1:6" x14ac:dyDescent="0.25">
      <c r="A64" t="s">
        <v>57</v>
      </c>
      <c r="B64" t="s">
        <v>58</v>
      </c>
      <c r="C64">
        <v>14200</v>
      </c>
      <c r="D64">
        <v>9.41E-4</v>
      </c>
      <c r="E64">
        <v>14200</v>
      </c>
      <c r="F64" t="s">
        <v>2</v>
      </c>
    </row>
    <row r="65" spans="1:6" x14ac:dyDescent="0.25">
      <c r="A65" t="s">
        <v>59</v>
      </c>
      <c r="B65" t="s">
        <v>60</v>
      </c>
      <c r="C65">
        <v>1218200</v>
      </c>
      <c r="D65">
        <v>8.0710000000000004E-2</v>
      </c>
      <c r="E65">
        <v>14200</v>
      </c>
      <c r="F65" t="s">
        <v>2</v>
      </c>
    </row>
    <row r="66" spans="1:6" x14ac:dyDescent="0.25">
      <c r="A66" t="s">
        <v>75</v>
      </c>
      <c r="B66" t="s">
        <v>76</v>
      </c>
      <c r="C66" t="s">
        <v>2</v>
      </c>
      <c r="D66">
        <v>0</v>
      </c>
      <c r="E66" t="s">
        <v>2</v>
      </c>
      <c r="F66" t="s">
        <v>2</v>
      </c>
    </row>
    <row r="67" spans="1:6" x14ac:dyDescent="0.25">
      <c r="A67" t="s">
        <v>77</v>
      </c>
      <c r="B67" t="s">
        <v>78</v>
      </c>
      <c r="C67">
        <v>-921550</v>
      </c>
      <c r="D67">
        <v>-6.1055999999999999E-2</v>
      </c>
      <c r="E67" t="s">
        <v>2</v>
      </c>
      <c r="F67" t="s">
        <v>2</v>
      </c>
    </row>
    <row r="68" spans="1:6" x14ac:dyDescent="0.25">
      <c r="A68" t="s">
        <v>79</v>
      </c>
      <c r="B68" t="s">
        <v>2</v>
      </c>
      <c r="C68" t="s">
        <v>2</v>
      </c>
      <c r="D68">
        <v>0.42115000000000002</v>
      </c>
      <c r="E68" t="s">
        <v>2</v>
      </c>
      <c r="F68" t="s">
        <v>2</v>
      </c>
    </row>
    <row r="69" spans="1:6" x14ac:dyDescent="0.25">
      <c r="A69" t="s">
        <v>61</v>
      </c>
      <c r="B69" t="s">
        <v>2</v>
      </c>
      <c r="C69" t="s">
        <v>2</v>
      </c>
      <c r="D69">
        <v>0.22128999999999999</v>
      </c>
      <c r="E69" t="s">
        <v>2</v>
      </c>
      <c r="F69" t="s">
        <v>2</v>
      </c>
    </row>
    <row r="70" spans="1:6" x14ac:dyDescent="0.25">
      <c r="A70" t="s">
        <v>62</v>
      </c>
      <c r="B70" t="s">
        <v>2</v>
      </c>
      <c r="C70" t="s">
        <v>2</v>
      </c>
      <c r="D70">
        <v>2.5239250000000002</v>
      </c>
      <c r="E70" t="s">
        <v>2</v>
      </c>
      <c r="F70" t="s">
        <v>2</v>
      </c>
    </row>
    <row r="71" spans="1:6" x14ac:dyDescent="0.25">
      <c r="A71" t="s">
        <v>80</v>
      </c>
      <c r="B71" t="s">
        <v>2</v>
      </c>
      <c r="C71" t="s">
        <v>2</v>
      </c>
      <c r="D71">
        <v>0.42115000000000002</v>
      </c>
      <c r="E71" t="s">
        <v>2</v>
      </c>
      <c r="F71" t="s">
        <v>2</v>
      </c>
    </row>
    <row r="72" spans="1:6" x14ac:dyDescent="0.25">
      <c r="A72" t="s">
        <v>63</v>
      </c>
      <c r="B72" t="s">
        <v>2</v>
      </c>
      <c r="C72" t="s">
        <v>2</v>
      </c>
      <c r="D72">
        <v>0.22128999999999999</v>
      </c>
      <c r="E72" t="s">
        <v>2</v>
      </c>
      <c r="F72" t="s">
        <v>2</v>
      </c>
    </row>
    <row r="73" spans="1:6" x14ac:dyDescent="0.25">
      <c r="A73" t="s">
        <v>64</v>
      </c>
      <c r="B73" t="s">
        <v>2</v>
      </c>
      <c r="C73" t="s">
        <v>2</v>
      </c>
      <c r="D73">
        <v>0.16380900000000001</v>
      </c>
      <c r="E73" t="s">
        <v>2</v>
      </c>
      <c r="F73" t="s">
        <v>2</v>
      </c>
    </row>
    <row r="74" spans="1:6" x14ac:dyDescent="0.25">
      <c r="A74" t="s">
        <v>65</v>
      </c>
      <c r="B74" t="s">
        <v>2</v>
      </c>
      <c r="C74" t="s">
        <v>2</v>
      </c>
      <c r="D74">
        <v>4.3803000000000002E-2</v>
      </c>
      <c r="E74" t="s">
        <v>2</v>
      </c>
      <c r="F74" t="s">
        <v>2</v>
      </c>
    </row>
    <row r="75" spans="1:6" x14ac:dyDescent="0.25">
      <c r="A75" t="s">
        <v>81</v>
      </c>
      <c r="B75" t="s">
        <v>2</v>
      </c>
      <c r="C75" t="s">
        <v>2</v>
      </c>
      <c r="D75">
        <v>0.14896999999999999</v>
      </c>
      <c r="E75" t="s">
        <v>2</v>
      </c>
      <c r="F75" t="s">
        <v>2</v>
      </c>
    </row>
    <row r="76" spans="1:6" x14ac:dyDescent="0.25">
      <c r="A76" t="s">
        <v>2</v>
      </c>
      <c r="B76" t="s">
        <v>2</v>
      </c>
      <c r="C76" t="s">
        <v>2</v>
      </c>
      <c r="D76" t="s">
        <v>2</v>
      </c>
      <c r="E76" t="s">
        <v>2</v>
      </c>
      <c r="F76" t="s">
        <v>2</v>
      </c>
    </row>
    <row r="77" spans="1:6" x14ac:dyDescent="0.25">
      <c r="A77" t="s">
        <v>82</v>
      </c>
      <c r="B77" t="s">
        <v>162</v>
      </c>
      <c r="C77" t="s">
        <v>83</v>
      </c>
      <c r="D77" t="s">
        <v>2</v>
      </c>
      <c r="E77" t="s">
        <v>2</v>
      </c>
      <c r="F77" t="s">
        <v>2</v>
      </c>
    </row>
    <row r="78" spans="1:6" x14ac:dyDescent="0.25">
      <c r="A78" t="s">
        <v>3</v>
      </c>
      <c r="B78" t="s">
        <v>4</v>
      </c>
      <c r="C78" t="s">
        <v>5</v>
      </c>
      <c r="D78" t="s">
        <v>6</v>
      </c>
      <c r="E78" t="s">
        <v>7</v>
      </c>
      <c r="F78" t="s">
        <v>8</v>
      </c>
    </row>
    <row r="79" spans="1:6" x14ac:dyDescent="0.25">
      <c r="A79" t="s">
        <v>9</v>
      </c>
      <c r="B79" t="s">
        <v>10</v>
      </c>
      <c r="C79">
        <v>1093999.3799999999</v>
      </c>
      <c r="D79">
        <v>5.8775000000000001E-2</v>
      </c>
      <c r="E79" t="s">
        <v>2</v>
      </c>
      <c r="F79" t="s">
        <v>2</v>
      </c>
    </row>
    <row r="80" spans="1:6" x14ac:dyDescent="0.25">
      <c r="A80" t="s">
        <v>11</v>
      </c>
      <c r="B80" t="s">
        <v>12</v>
      </c>
      <c r="C80">
        <v>1093903.69</v>
      </c>
      <c r="D80">
        <v>5.8770000000000003E-2</v>
      </c>
      <c r="E80" t="s">
        <v>2</v>
      </c>
      <c r="F80" t="s">
        <v>2</v>
      </c>
    </row>
    <row r="81" spans="1:6" x14ac:dyDescent="0.25">
      <c r="A81" t="s">
        <v>13</v>
      </c>
      <c r="B81" t="s">
        <v>14</v>
      </c>
      <c r="C81">
        <v>95.69</v>
      </c>
      <c r="D81">
        <v>5.0000000000000004E-6</v>
      </c>
      <c r="E81" t="s">
        <v>2</v>
      </c>
      <c r="F81" t="s">
        <v>2</v>
      </c>
    </row>
    <row r="82" spans="1:6" x14ac:dyDescent="0.25">
      <c r="A82" t="s">
        <v>15</v>
      </c>
      <c r="B82" t="s">
        <v>16</v>
      </c>
      <c r="C82">
        <v>3944151.88</v>
      </c>
      <c r="D82">
        <v>0.21190100000000001</v>
      </c>
      <c r="E82" t="s">
        <v>2</v>
      </c>
      <c r="F82" t="s">
        <v>2</v>
      </c>
    </row>
    <row r="83" spans="1:6" x14ac:dyDescent="0.25">
      <c r="A83" t="s">
        <v>17</v>
      </c>
      <c r="B83" t="s">
        <v>18</v>
      </c>
      <c r="C83">
        <v>2641254.86</v>
      </c>
      <c r="D83">
        <v>0.141902</v>
      </c>
      <c r="E83" t="s">
        <v>2</v>
      </c>
      <c r="F83" t="s">
        <v>2</v>
      </c>
    </row>
    <row r="84" spans="1:6" x14ac:dyDescent="0.25">
      <c r="A84" t="s">
        <v>19</v>
      </c>
      <c r="B84" t="s">
        <v>20</v>
      </c>
      <c r="C84">
        <v>359788.53</v>
      </c>
      <c r="D84">
        <v>1.933E-2</v>
      </c>
      <c r="E84" t="s">
        <v>2</v>
      </c>
      <c r="F84" t="s">
        <v>2</v>
      </c>
    </row>
    <row r="85" spans="1:6" x14ac:dyDescent="0.25">
      <c r="A85" t="s">
        <v>21</v>
      </c>
      <c r="B85" t="s">
        <v>22</v>
      </c>
      <c r="C85">
        <v>18</v>
      </c>
      <c r="D85">
        <v>9.9999999999999995E-7</v>
      </c>
      <c r="E85" t="s">
        <v>2</v>
      </c>
      <c r="F85" t="s">
        <v>2</v>
      </c>
    </row>
    <row r="86" spans="1:6" x14ac:dyDescent="0.25">
      <c r="A86" t="s">
        <v>23</v>
      </c>
      <c r="B86" t="s">
        <v>24</v>
      </c>
      <c r="C86">
        <v>3642556.73</v>
      </c>
      <c r="D86">
        <v>0.19569700000000001</v>
      </c>
      <c r="E86">
        <v>214485.54</v>
      </c>
      <c r="F86" t="s">
        <v>2</v>
      </c>
    </row>
    <row r="87" spans="1:6" x14ac:dyDescent="0.25">
      <c r="A87" t="s">
        <v>25</v>
      </c>
      <c r="B87" t="s">
        <v>26</v>
      </c>
      <c r="C87">
        <v>2237264</v>
      </c>
      <c r="D87">
        <v>0.120198</v>
      </c>
      <c r="E87">
        <v>127606.32</v>
      </c>
      <c r="F87" t="s">
        <v>2</v>
      </c>
    </row>
    <row r="88" spans="1:6" x14ac:dyDescent="0.25">
      <c r="A88" t="s">
        <v>27</v>
      </c>
      <c r="B88" t="s">
        <v>28</v>
      </c>
      <c r="C88">
        <v>926781</v>
      </c>
      <c r="D88">
        <v>4.9792000000000003E-2</v>
      </c>
      <c r="E88">
        <v>49495.33</v>
      </c>
      <c r="F88" t="s">
        <v>2</v>
      </c>
    </row>
    <row r="89" spans="1:6" x14ac:dyDescent="0.25">
      <c r="A89" t="s">
        <v>69</v>
      </c>
      <c r="B89" t="s">
        <v>70</v>
      </c>
      <c r="C89">
        <v>478511.73</v>
      </c>
      <c r="D89">
        <v>2.5708000000000002E-2</v>
      </c>
      <c r="E89">
        <v>37383.89</v>
      </c>
      <c r="F89" t="s">
        <v>2</v>
      </c>
    </row>
    <row r="90" spans="1:6" x14ac:dyDescent="0.25">
      <c r="A90" t="s">
        <v>71</v>
      </c>
      <c r="B90" t="s">
        <v>72</v>
      </c>
      <c r="C90">
        <v>7348880.9199999999</v>
      </c>
      <c r="D90">
        <v>0.39482099999999998</v>
      </c>
      <c r="E90">
        <v>-3026.18</v>
      </c>
      <c r="F90" t="s">
        <v>2</v>
      </c>
    </row>
    <row r="91" spans="1:6" x14ac:dyDescent="0.25">
      <c r="A91" t="s">
        <v>84</v>
      </c>
      <c r="B91" t="s">
        <v>85</v>
      </c>
      <c r="C91">
        <v>420611.1</v>
      </c>
      <c r="D91">
        <v>2.2596999999999999E-2</v>
      </c>
      <c r="E91">
        <v>-3218.1</v>
      </c>
      <c r="F91" t="s">
        <v>2</v>
      </c>
    </row>
    <row r="92" spans="1:6" x14ac:dyDescent="0.25">
      <c r="A92" t="s">
        <v>73</v>
      </c>
      <c r="B92" t="s">
        <v>74</v>
      </c>
      <c r="C92">
        <v>6928269.8200000003</v>
      </c>
      <c r="D92">
        <v>0.37222300000000003</v>
      </c>
      <c r="E92">
        <v>191.92</v>
      </c>
      <c r="F92" t="s">
        <v>2</v>
      </c>
    </row>
    <row r="93" spans="1:6" x14ac:dyDescent="0.25">
      <c r="A93" t="s">
        <v>86</v>
      </c>
      <c r="B93" t="s">
        <v>87</v>
      </c>
      <c r="C93">
        <v>4231.5</v>
      </c>
      <c r="D93">
        <v>2.2699999999999999E-4</v>
      </c>
      <c r="E93" t="s">
        <v>2</v>
      </c>
      <c r="F93" t="s">
        <v>2</v>
      </c>
    </row>
    <row r="94" spans="1:6" x14ac:dyDescent="0.25">
      <c r="A94" t="s">
        <v>88</v>
      </c>
      <c r="B94" t="s">
        <v>89</v>
      </c>
      <c r="C94">
        <v>4231.5</v>
      </c>
      <c r="D94">
        <v>2.2699999999999999E-4</v>
      </c>
      <c r="E94" t="s">
        <v>2</v>
      </c>
      <c r="F94" t="s">
        <v>2</v>
      </c>
    </row>
    <row r="95" spans="1:6" x14ac:dyDescent="0.25">
      <c r="A95" t="s">
        <v>35</v>
      </c>
      <c r="B95" t="s">
        <v>36</v>
      </c>
      <c r="C95">
        <v>358666.26</v>
      </c>
      <c r="D95">
        <v>1.9269000000000001E-2</v>
      </c>
      <c r="E95">
        <v>358666.26</v>
      </c>
      <c r="F95" t="s">
        <v>2</v>
      </c>
    </row>
    <row r="96" spans="1:6" x14ac:dyDescent="0.25">
      <c r="A96" t="s">
        <v>37</v>
      </c>
      <c r="B96" t="s">
        <v>38</v>
      </c>
      <c r="C96">
        <v>13800</v>
      </c>
      <c r="D96">
        <v>7.4100000000000001E-4</v>
      </c>
      <c r="E96">
        <v>13800</v>
      </c>
      <c r="F96" t="s">
        <v>2</v>
      </c>
    </row>
    <row r="97" spans="1:6" x14ac:dyDescent="0.25">
      <c r="A97" t="s">
        <v>39</v>
      </c>
      <c r="B97" t="s">
        <v>40</v>
      </c>
      <c r="C97">
        <v>37227600</v>
      </c>
      <c r="D97">
        <v>2.0000640000000001</v>
      </c>
      <c r="E97">
        <v>13800</v>
      </c>
      <c r="F97" t="s">
        <v>2</v>
      </c>
    </row>
    <row r="98" spans="1:6" x14ac:dyDescent="0.25">
      <c r="A98" t="s">
        <v>41</v>
      </c>
      <c r="B98" t="s">
        <v>42</v>
      </c>
      <c r="C98">
        <v>237910</v>
      </c>
      <c r="D98">
        <v>1.2782E-2</v>
      </c>
      <c r="E98">
        <v>237910</v>
      </c>
      <c r="F98" t="s">
        <v>2</v>
      </c>
    </row>
    <row r="99" spans="1:6" x14ac:dyDescent="0.25">
      <c r="A99" t="s">
        <v>43</v>
      </c>
      <c r="B99" t="s">
        <v>44</v>
      </c>
      <c r="C99">
        <v>8247540</v>
      </c>
      <c r="D99">
        <v>0.443102</v>
      </c>
      <c r="E99">
        <v>237910</v>
      </c>
      <c r="F99" t="s">
        <v>2</v>
      </c>
    </row>
    <row r="100" spans="1:6" x14ac:dyDescent="0.25">
      <c r="A100" t="s">
        <v>45</v>
      </c>
      <c r="B100" t="s">
        <v>46</v>
      </c>
      <c r="C100">
        <v>-26317.08</v>
      </c>
      <c r="D100">
        <v>-1.4139999999999999E-3</v>
      </c>
      <c r="E100">
        <v>-26317.08</v>
      </c>
      <c r="F100" t="s">
        <v>2</v>
      </c>
    </row>
    <row r="101" spans="1:6" x14ac:dyDescent="0.25">
      <c r="A101" t="s">
        <v>47</v>
      </c>
      <c r="B101" t="s">
        <v>48</v>
      </c>
      <c r="C101">
        <v>1507650</v>
      </c>
      <c r="D101">
        <v>8.0999000000000002E-2</v>
      </c>
      <c r="E101">
        <v>-26317.08</v>
      </c>
      <c r="F101" t="s">
        <v>2</v>
      </c>
    </row>
    <row r="102" spans="1:6" x14ac:dyDescent="0.25">
      <c r="A102" t="s">
        <v>49</v>
      </c>
      <c r="B102" t="s">
        <v>50</v>
      </c>
      <c r="C102">
        <v>12918.75</v>
      </c>
      <c r="D102">
        <v>6.9399999999999996E-4</v>
      </c>
      <c r="E102">
        <v>12918.75</v>
      </c>
      <c r="F102" t="s">
        <v>2</v>
      </c>
    </row>
    <row r="103" spans="1:6" x14ac:dyDescent="0.25">
      <c r="A103" t="s">
        <v>51</v>
      </c>
      <c r="B103" t="s">
        <v>52</v>
      </c>
      <c r="C103">
        <v>2758710</v>
      </c>
      <c r="D103">
        <v>0.14821300000000001</v>
      </c>
      <c r="E103">
        <v>12918.75</v>
      </c>
      <c r="F103" t="s">
        <v>2</v>
      </c>
    </row>
    <row r="104" spans="1:6" x14ac:dyDescent="0.25">
      <c r="A104" t="s">
        <v>53</v>
      </c>
      <c r="B104" t="s">
        <v>54</v>
      </c>
      <c r="C104">
        <v>-10245.41</v>
      </c>
      <c r="D104">
        <v>-5.5000000000000003E-4</v>
      </c>
      <c r="E104">
        <v>-10245.41</v>
      </c>
      <c r="F104" t="s">
        <v>2</v>
      </c>
    </row>
    <row r="105" spans="1:6" x14ac:dyDescent="0.25">
      <c r="A105" t="s">
        <v>55</v>
      </c>
      <c r="B105" t="s">
        <v>56</v>
      </c>
      <c r="C105">
        <v>-4116070</v>
      </c>
      <c r="D105">
        <v>-0.221137</v>
      </c>
      <c r="E105">
        <v>-10245.41</v>
      </c>
      <c r="F105" t="s">
        <v>2</v>
      </c>
    </row>
    <row r="106" spans="1:6" x14ac:dyDescent="0.25">
      <c r="A106" t="s">
        <v>57</v>
      </c>
      <c r="B106" t="s">
        <v>58</v>
      </c>
      <c r="C106">
        <v>30000</v>
      </c>
      <c r="D106">
        <v>1.6119999999999999E-3</v>
      </c>
      <c r="E106">
        <v>30000</v>
      </c>
      <c r="F106" t="s">
        <v>2</v>
      </c>
    </row>
    <row r="107" spans="1:6" x14ac:dyDescent="0.25">
      <c r="A107" t="s">
        <v>59</v>
      </c>
      <c r="B107" t="s">
        <v>60</v>
      </c>
      <c r="C107">
        <v>1279400</v>
      </c>
      <c r="D107">
        <v>6.8736000000000005E-2</v>
      </c>
      <c r="E107">
        <v>30000</v>
      </c>
      <c r="F107" t="s">
        <v>2</v>
      </c>
    </row>
    <row r="108" spans="1:6" x14ac:dyDescent="0.25">
      <c r="A108" t="s">
        <v>75</v>
      </c>
      <c r="B108" t="s">
        <v>76</v>
      </c>
      <c r="C108">
        <v>100600</v>
      </c>
      <c r="D108">
        <v>5.4050000000000001E-3</v>
      </c>
      <c r="E108">
        <v>100600</v>
      </c>
      <c r="F108" t="s">
        <v>2</v>
      </c>
    </row>
    <row r="109" spans="1:6" x14ac:dyDescent="0.25">
      <c r="A109" t="s">
        <v>77</v>
      </c>
      <c r="B109" t="s">
        <v>78</v>
      </c>
      <c r="C109">
        <v>-1023825</v>
      </c>
      <c r="D109">
        <v>-5.5004999999999998E-2</v>
      </c>
      <c r="E109">
        <v>100600</v>
      </c>
      <c r="F109" t="s">
        <v>2</v>
      </c>
    </row>
    <row r="110" spans="1:6" x14ac:dyDescent="0.25">
      <c r="A110" t="s">
        <v>79</v>
      </c>
      <c r="B110" t="s">
        <v>2</v>
      </c>
      <c r="C110" t="s">
        <v>2</v>
      </c>
      <c r="D110">
        <v>0.39482099999999998</v>
      </c>
      <c r="E110" t="s">
        <v>2</v>
      </c>
      <c r="F110" t="s">
        <v>2</v>
      </c>
    </row>
    <row r="111" spans="1:6" x14ac:dyDescent="0.25">
      <c r="A111" t="s">
        <v>61</v>
      </c>
      <c r="B111" t="s">
        <v>2</v>
      </c>
      <c r="C111" t="s">
        <v>2</v>
      </c>
      <c r="D111">
        <v>0.19569700000000001</v>
      </c>
      <c r="E111" t="s">
        <v>2</v>
      </c>
      <c r="F111" t="s">
        <v>2</v>
      </c>
    </row>
    <row r="112" spans="1:6" x14ac:dyDescent="0.25">
      <c r="A112" t="s">
        <v>62</v>
      </c>
      <c r="B112" t="s">
        <v>2</v>
      </c>
      <c r="C112" t="s">
        <v>2</v>
      </c>
      <c r="D112">
        <v>2.4649709999999998</v>
      </c>
      <c r="E112" t="s">
        <v>2</v>
      </c>
      <c r="F112" t="s">
        <v>2</v>
      </c>
    </row>
    <row r="113" spans="1:6" x14ac:dyDescent="0.25">
      <c r="A113" t="s">
        <v>80</v>
      </c>
      <c r="B113" t="s">
        <v>2</v>
      </c>
      <c r="C113" t="s">
        <v>2</v>
      </c>
      <c r="D113">
        <v>0.39482099999999998</v>
      </c>
      <c r="E113" t="s">
        <v>2</v>
      </c>
      <c r="F113" t="s">
        <v>2</v>
      </c>
    </row>
    <row r="114" spans="1:6" x14ac:dyDescent="0.25">
      <c r="A114" t="s">
        <v>63</v>
      </c>
      <c r="B114" t="s">
        <v>2</v>
      </c>
      <c r="C114" t="s">
        <v>2</v>
      </c>
      <c r="D114">
        <v>0.19569700000000001</v>
      </c>
      <c r="E114" t="s">
        <v>2</v>
      </c>
      <c r="F114" t="s">
        <v>2</v>
      </c>
    </row>
    <row r="115" spans="1:6" x14ac:dyDescent="0.25">
      <c r="A115" t="s">
        <v>64</v>
      </c>
      <c r="B115" t="s">
        <v>2</v>
      </c>
      <c r="C115" t="s">
        <v>2</v>
      </c>
      <c r="D115">
        <v>0.120198</v>
      </c>
      <c r="E115" t="s">
        <v>2</v>
      </c>
      <c r="F115" t="s">
        <v>2</v>
      </c>
    </row>
    <row r="116" spans="1:6" x14ac:dyDescent="0.25">
      <c r="A116" t="s">
        <v>65</v>
      </c>
      <c r="B116" t="s">
        <v>2</v>
      </c>
      <c r="C116" t="s">
        <v>2</v>
      </c>
      <c r="D116">
        <v>4.9792000000000003E-2</v>
      </c>
      <c r="E116" t="s">
        <v>2</v>
      </c>
      <c r="F116" t="s">
        <v>2</v>
      </c>
    </row>
    <row r="117" spans="1:6" x14ac:dyDescent="0.25">
      <c r="A117" t="s">
        <v>81</v>
      </c>
      <c r="B117" t="s">
        <v>2</v>
      </c>
      <c r="C117" t="s">
        <v>2</v>
      </c>
      <c r="D117">
        <v>0.122571</v>
      </c>
      <c r="E117" t="s">
        <v>2</v>
      </c>
      <c r="F117" t="s">
        <v>2</v>
      </c>
    </row>
    <row r="118" spans="1:6" x14ac:dyDescent="0.25">
      <c r="A118" t="s">
        <v>2</v>
      </c>
      <c r="B118" t="s">
        <v>2</v>
      </c>
      <c r="C118" t="s">
        <v>2</v>
      </c>
      <c r="D118" t="s">
        <v>2</v>
      </c>
      <c r="E118" t="s">
        <v>2</v>
      </c>
      <c r="F118" t="s">
        <v>2</v>
      </c>
    </row>
    <row r="119" spans="1:6" x14ac:dyDescent="0.25">
      <c r="A119" t="s">
        <v>90</v>
      </c>
      <c r="B119" t="s">
        <v>163</v>
      </c>
      <c r="C119" t="s">
        <v>91</v>
      </c>
      <c r="D119" t="s">
        <v>2</v>
      </c>
      <c r="E119" t="s">
        <v>2</v>
      </c>
      <c r="F119" t="s">
        <v>2</v>
      </c>
    </row>
    <row r="120" spans="1:6" x14ac:dyDescent="0.25">
      <c r="A120" t="s">
        <v>3</v>
      </c>
      <c r="B120" t="s">
        <v>4</v>
      </c>
      <c r="C120" t="s">
        <v>5</v>
      </c>
      <c r="D120" t="s">
        <v>6</v>
      </c>
      <c r="E120" t="s">
        <v>7</v>
      </c>
      <c r="F120" t="s">
        <v>8</v>
      </c>
    </row>
    <row r="121" spans="1:6" x14ac:dyDescent="0.25">
      <c r="A121" t="s">
        <v>9</v>
      </c>
      <c r="B121" t="s">
        <v>10</v>
      </c>
      <c r="C121">
        <v>3038323.75</v>
      </c>
      <c r="D121">
        <v>0.124194</v>
      </c>
      <c r="E121" t="s">
        <v>2</v>
      </c>
      <c r="F121" t="s">
        <v>2</v>
      </c>
    </row>
    <row r="122" spans="1:6" x14ac:dyDescent="0.25">
      <c r="A122" t="s">
        <v>11</v>
      </c>
      <c r="B122" t="s">
        <v>12</v>
      </c>
      <c r="C122">
        <v>3037611.87</v>
      </c>
      <c r="D122">
        <v>0.124165</v>
      </c>
      <c r="E122" t="s">
        <v>2</v>
      </c>
      <c r="F122" t="s">
        <v>2</v>
      </c>
    </row>
    <row r="123" spans="1:6" x14ac:dyDescent="0.25">
      <c r="A123" t="s">
        <v>13</v>
      </c>
      <c r="B123" t="s">
        <v>14</v>
      </c>
      <c r="C123">
        <v>711.88</v>
      </c>
      <c r="D123">
        <v>2.9E-5</v>
      </c>
      <c r="E123" t="s">
        <v>2</v>
      </c>
      <c r="F123" t="s">
        <v>2</v>
      </c>
    </row>
    <row r="124" spans="1:6" x14ac:dyDescent="0.25">
      <c r="A124" t="s">
        <v>15</v>
      </c>
      <c r="B124" t="s">
        <v>16</v>
      </c>
      <c r="C124">
        <v>3901304.07</v>
      </c>
      <c r="D124">
        <v>0.159469</v>
      </c>
      <c r="E124" t="s">
        <v>2</v>
      </c>
      <c r="F124" t="s">
        <v>2</v>
      </c>
    </row>
    <row r="125" spans="1:6" x14ac:dyDescent="0.25">
      <c r="A125" t="s">
        <v>17</v>
      </c>
      <c r="B125" t="s">
        <v>18</v>
      </c>
      <c r="C125">
        <v>3771999.86</v>
      </c>
      <c r="D125">
        <v>0.15418399999999999</v>
      </c>
      <c r="E125" t="s">
        <v>2</v>
      </c>
      <c r="F125" t="s">
        <v>2</v>
      </c>
    </row>
    <row r="126" spans="1:6" x14ac:dyDescent="0.25">
      <c r="A126" t="s">
        <v>19</v>
      </c>
      <c r="B126" t="s">
        <v>20</v>
      </c>
      <c r="C126">
        <v>735979.33</v>
      </c>
      <c r="D126">
        <v>3.0084E-2</v>
      </c>
      <c r="E126" t="s">
        <v>2</v>
      </c>
      <c r="F126" t="s">
        <v>2</v>
      </c>
    </row>
    <row r="127" spans="1:6" x14ac:dyDescent="0.25">
      <c r="A127" t="s">
        <v>21</v>
      </c>
      <c r="B127" t="s">
        <v>22</v>
      </c>
      <c r="C127">
        <v>145.47999999999999</v>
      </c>
      <c r="D127">
        <v>6.0000000000000002E-6</v>
      </c>
      <c r="E127" t="s">
        <v>2</v>
      </c>
      <c r="F127" t="s">
        <v>2</v>
      </c>
    </row>
    <row r="128" spans="1:6" x14ac:dyDescent="0.25">
      <c r="A128" t="s">
        <v>23</v>
      </c>
      <c r="B128" t="s">
        <v>24</v>
      </c>
      <c r="C128">
        <v>4505300.16</v>
      </c>
      <c r="D128">
        <v>0.18415799999999999</v>
      </c>
      <c r="E128">
        <v>234422.02</v>
      </c>
      <c r="F128" t="s">
        <v>2</v>
      </c>
    </row>
    <row r="129" spans="1:6" x14ac:dyDescent="0.25">
      <c r="A129" t="s">
        <v>25</v>
      </c>
      <c r="B129" t="s">
        <v>26</v>
      </c>
      <c r="C129">
        <v>2946151</v>
      </c>
      <c r="D129">
        <v>0.12042600000000001</v>
      </c>
      <c r="E129">
        <v>145553.1</v>
      </c>
      <c r="F129" t="s">
        <v>2</v>
      </c>
    </row>
    <row r="130" spans="1:6" x14ac:dyDescent="0.25">
      <c r="A130" t="s">
        <v>27</v>
      </c>
      <c r="B130" t="s">
        <v>28</v>
      </c>
      <c r="C130">
        <v>568940</v>
      </c>
      <c r="D130">
        <v>2.3255999999999999E-2</v>
      </c>
      <c r="E130">
        <v>34451.089999999997</v>
      </c>
      <c r="F130" t="s">
        <v>2</v>
      </c>
    </row>
    <row r="131" spans="1:6" x14ac:dyDescent="0.25">
      <c r="A131" t="s">
        <v>29</v>
      </c>
      <c r="B131" t="s">
        <v>30</v>
      </c>
      <c r="C131">
        <v>465980</v>
      </c>
      <c r="D131">
        <v>1.9047000000000001E-2</v>
      </c>
      <c r="E131">
        <v>15792</v>
      </c>
      <c r="F131" t="s">
        <v>2</v>
      </c>
    </row>
    <row r="132" spans="1:6" x14ac:dyDescent="0.25">
      <c r="A132" t="s">
        <v>69</v>
      </c>
      <c r="B132" t="s">
        <v>70</v>
      </c>
      <c r="C132">
        <v>372215.16</v>
      </c>
      <c r="D132">
        <v>1.5214999999999999E-2</v>
      </c>
      <c r="E132">
        <v>39756.379999999997</v>
      </c>
      <c r="F132" t="s">
        <v>2</v>
      </c>
    </row>
    <row r="133" spans="1:6" x14ac:dyDescent="0.25">
      <c r="A133" t="s">
        <v>92</v>
      </c>
      <c r="B133" t="s">
        <v>93</v>
      </c>
      <c r="C133">
        <v>152014</v>
      </c>
      <c r="D133">
        <v>6.2139999999999999E-3</v>
      </c>
      <c r="E133">
        <v>-1130.55</v>
      </c>
      <c r="F133" t="s">
        <v>2</v>
      </c>
    </row>
    <row r="134" spans="1:6" x14ac:dyDescent="0.25">
      <c r="A134" t="s">
        <v>71</v>
      </c>
      <c r="B134" t="s">
        <v>72</v>
      </c>
      <c r="C134">
        <v>9289966.1699999999</v>
      </c>
      <c r="D134">
        <v>0.37973499999999999</v>
      </c>
      <c r="E134">
        <v>5681.84</v>
      </c>
      <c r="F134" t="s">
        <v>2</v>
      </c>
    </row>
    <row r="135" spans="1:6" x14ac:dyDescent="0.25">
      <c r="A135" t="s">
        <v>84</v>
      </c>
      <c r="B135" t="s">
        <v>85</v>
      </c>
      <c r="C135">
        <v>850847.4</v>
      </c>
      <c r="D135">
        <v>3.4778999999999997E-2</v>
      </c>
      <c r="E135">
        <v>4853.29</v>
      </c>
      <c r="F135" t="s">
        <v>2</v>
      </c>
    </row>
    <row r="136" spans="1:6" x14ac:dyDescent="0.25">
      <c r="A136" t="s">
        <v>73</v>
      </c>
      <c r="B136" t="s">
        <v>74</v>
      </c>
      <c r="C136">
        <v>8439118.7699999996</v>
      </c>
      <c r="D136">
        <v>0.34495599999999998</v>
      </c>
      <c r="E136">
        <v>828.55</v>
      </c>
      <c r="F136" t="s">
        <v>2</v>
      </c>
    </row>
    <row r="137" spans="1:6" x14ac:dyDescent="0.25">
      <c r="A137" t="s">
        <v>31</v>
      </c>
      <c r="B137" t="s">
        <v>32</v>
      </c>
      <c r="C137">
        <v>111.11</v>
      </c>
      <c r="D137">
        <v>5.0000000000000004E-6</v>
      </c>
      <c r="E137" t="s">
        <v>2</v>
      </c>
      <c r="F137" t="s">
        <v>2</v>
      </c>
    </row>
    <row r="138" spans="1:6" x14ac:dyDescent="0.25">
      <c r="A138" t="s">
        <v>33</v>
      </c>
      <c r="B138" t="s">
        <v>34</v>
      </c>
      <c r="C138">
        <v>111.11</v>
      </c>
      <c r="D138">
        <v>5.0000000000000004E-6</v>
      </c>
      <c r="E138" t="s">
        <v>2</v>
      </c>
      <c r="F138" t="s">
        <v>2</v>
      </c>
    </row>
    <row r="139" spans="1:6" x14ac:dyDescent="0.25">
      <c r="A139" t="s">
        <v>35</v>
      </c>
      <c r="B139" t="s">
        <v>36</v>
      </c>
      <c r="C139">
        <v>302753.73</v>
      </c>
      <c r="D139">
        <v>1.2375000000000001E-2</v>
      </c>
      <c r="E139">
        <v>302753.73</v>
      </c>
      <c r="F139" t="s">
        <v>2</v>
      </c>
    </row>
    <row r="140" spans="1:6" x14ac:dyDescent="0.25">
      <c r="A140" t="s">
        <v>37</v>
      </c>
      <c r="B140" t="s">
        <v>38</v>
      </c>
      <c r="C140">
        <v>-6300</v>
      </c>
      <c r="D140">
        <v>-2.5799999999999998E-4</v>
      </c>
      <c r="E140">
        <v>-6300</v>
      </c>
      <c r="F140" t="s">
        <v>2</v>
      </c>
    </row>
    <row r="141" spans="1:6" x14ac:dyDescent="0.25">
      <c r="A141" t="s">
        <v>39</v>
      </c>
      <c r="B141" t="s">
        <v>40</v>
      </c>
      <c r="C141">
        <v>37207500</v>
      </c>
      <c r="D141">
        <v>1.5208870000000001</v>
      </c>
      <c r="E141">
        <v>-6300</v>
      </c>
      <c r="F141" t="s">
        <v>2</v>
      </c>
    </row>
    <row r="142" spans="1:6" x14ac:dyDescent="0.25">
      <c r="A142" t="s">
        <v>41</v>
      </c>
      <c r="B142" t="s">
        <v>42</v>
      </c>
      <c r="C142">
        <v>224255.6</v>
      </c>
      <c r="D142">
        <v>9.1669999999999998E-3</v>
      </c>
      <c r="E142">
        <v>224255.6</v>
      </c>
      <c r="F142" t="s">
        <v>2</v>
      </c>
    </row>
    <row r="143" spans="1:6" x14ac:dyDescent="0.25">
      <c r="A143" t="s">
        <v>43</v>
      </c>
      <c r="B143" t="s">
        <v>44</v>
      </c>
      <c r="C143">
        <v>12701390</v>
      </c>
      <c r="D143">
        <v>0.51917999999999997</v>
      </c>
      <c r="E143">
        <v>224255.6</v>
      </c>
      <c r="F143" t="s">
        <v>2</v>
      </c>
    </row>
    <row r="144" spans="1:6" x14ac:dyDescent="0.25">
      <c r="A144" t="s">
        <v>94</v>
      </c>
      <c r="B144" t="s">
        <v>95</v>
      </c>
      <c r="C144">
        <v>28536.36</v>
      </c>
      <c r="D144">
        <v>1.1659999999999999E-3</v>
      </c>
      <c r="E144">
        <v>28536.36</v>
      </c>
      <c r="F144" t="s">
        <v>2</v>
      </c>
    </row>
    <row r="145" spans="1:6" x14ac:dyDescent="0.25">
      <c r="A145" t="s">
        <v>96</v>
      </c>
      <c r="B145" t="s">
        <v>97</v>
      </c>
      <c r="C145">
        <v>-1611210</v>
      </c>
      <c r="D145">
        <v>-6.5860000000000002E-2</v>
      </c>
      <c r="E145">
        <v>28536.36</v>
      </c>
      <c r="F145" t="s">
        <v>2</v>
      </c>
    </row>
    <row r="146" spans="1:6" x14ac:dyDescent="0.25">
      <c r="A146" t="s">
        <v>45</v>
      </c>
      <c r="B146" t="s">
        <v>46</v>
      </c>
      <c r="C146">
        <v>-1173.23</v>
      </c>
      <c r="D146">
        <v>-4.8000000000000001E-5</v>
      </c>
      <c r="E146">
        <v>-1173.23</v>
      </c>
      <c r="F146" t="s">
        <v>2</v>
      </c>
    </row>
    <row r="147" spans="1:6" x14ac:dyDescent="0.25">
      <c r="A147" t="s">
        <v>47</v>
      </c>
      <c r="B147" t="s">
        <v>48</v>
      </c>
      <c r="C147">
        <v>753060</v>
      </c>
      <c r="D147">
        <v>3.0782E-2</v>
      </c>
      <c r="E147">
        <v>-1173.23</v>
      </c>
      <c r="F147" t="s">
        <v>2</v>
      </c>
    </row>
    <row r="148" spans="1:6" x14ac:dyDescent="0.25">
      <c r="A148" t="s">
        <v>49</v>
      </c>
      <c r="B148" t="s">
        <v>50</v>
      </c>
      <c r="C148">
        <v>-26085</v>
      </c>
      <c r="D148">
        <v>-1.0660000000000001E-3</v>
      </c>
      <c r="E148">
        <v>-26085</v>
      </c>
      <c r="F148" t="s">
        <v>2</v>
      </c>
    </row>
    <row r="149" spans="1:6" x14ac:dyDescent="0.25">
      <c r="A149" t="s">
        <v>51</v>
      </c>
      <c r="B149" t="s">
        <v>52</v>
      </c>
      <c r="C149">
        <v>3258970</v>
      </c>
      <c r="D149">
        <v>0.133213</v>
      </c>
      <c r="E149">
        <v>-26085</v>
      </c>
      <c r="F149" t="s">
        <v>2</v>
      </c>
    </row>
    <row r="150" spans="1:6" x14ac:dyDescent="0.25">
      <c r="A150" t="s">
        <v>53</v>
      </c>
      <c r="B150" t="s">
        <v>54</v>
      </c>
      <c r="C150">
        <v>25120</v>
      </c>
      <c r="D150">
        <v>1.0269999999999999E-3</v>
      </c>
      <c r="E150">
        <v>25120</v>
      </c>
      <c r="F150" t="s">
        <v>2</v>
      </c>
    </row>
    <row r="151" spans="1:6" x14ac:dyDescent="0.25">
      <c r="A151" t="s">
        <v>55</v>
      </c>
      <c r="B151" t="s">
        <v>56</v>
      </c>
      <c r="C151">
        <v>-2307520</v>
      </c>
      <c r="D151">
        <v>-9.4322000000000003E-2</v>
      </c>
      <c r="E151">
        <v>25120</v>
      </c>
      <c r="F151" t="s">
        <v>2</v>
      </c>
    </row>
    <row r="152" spans="1:6" x14ac:dyDescent="0.25">
      <c r="A152" t="s">
        <v>57</v>
      </c>
      <c r="B152" t="s">
        <v>58</v>
      </c>
      <c r="C152">
        <v>44400</v>
      </c>
      <c r="D152">
        <v>1.815E-3</v>
      </c>
      <c r="E152">
        <v>44400</v>
      </c>
      <c r="F152" t="s">
        <v>2</v>
      </c>
    </row>
    <row r="153" spans="1:6" x14ac:dyDescent="0.25">
      <c r="A153" t="s">
        <v>59</v>
      </c>
      <c r="B153" t="s">
        <v>60</v>
      </c>
      <c r="C153">
        <v>1293800</v>
      </c>
      <c r="D153">
        <v>5.2885000000000001E-2</v>
      </c>
      <c r="E153">
        <v>44400</v>
      </c>
      <c r="F153" t="s">
        <v>2</v>
      </c>
    </row>
    <row r="154" spans="1:6" x14ac:dyDescent="0.25">
      <c r="A154" t="s">
        <v>75</v>
      </c>
      <c r="B154" t="s">
        <v>76</v>
      </c>
      <c r="C154">
        <v>14000</v>
      </c>
      <c r="D154">
        <v>5.7200000000000003E-4</v>
      </c>
      <c r="E154">
        <v>14000</v>
      </c>
      <c r="F154" t="s">
        <v>2</v>
      </c>
    </row>
    <row r="155" spans="1:6" x14ac:dyDescent="0.25">
      <c r="A155" t="s">
        <v>77</v>
      </c>
      <c r="B155" t="s">
        <v>78</v>
      </c>
      <c r="C155">
        <v>-1505625</v>
      </c>
      <c r="D155">
        <v>-6.1544000000000001E-2</v>
      </c>
      <c r="E155">
        <v>14000</v>
      </c>
      <c r="F155" t="s">
        <v>2</v>
      </c>
    </row>
    <row r="156" spans="1:6" x14ac:dyDescent="0.25">
      <c r="A156" t="s">
        <v>79</v>
      </c>
      <c r="B156" t="s">
        <v>2</v>
      </c>
      <c r="C156" t="s">
        <v>2</v>
      </c>
      <c r="D156">
        <v>0.37973499999999999</v>
      </c>
      <c r="E156" t="s">
        <v>2</v>
      </c>
      <c r="F156" t="s">
        <v>2</v>
      </c>
    </row>
    <row r="157" spans="1:6" x14ac:dyDescent="0.25">
      <c r="A157" t="s">
        <v>61</v>
      </c>
      <c r="B157" t="s">
        <v>2</v>
      </c>
      <c r="C157" t="s">
        <v>2</v>
      </c>
      <c r="D157">
        <v>0.18415799999999999</v>
      </c>
      <c r="E157" t="s">
        <v>2</v>
      </c>
      <c r="F157" t="s">
        <v>2</v>
      </c>
    </row>
    <row r="158" spans="1:6" x14ac:dyDescent="0.25">
      <c r="A158" t="s">
        <v>62</v>
      </c>
      <c r="B158" t="s">
        <v>2</v>
      </c>
      <c r="C158" t="s">
        <v>2</v>
      </c>
      <c r="D158">
        <v>2.0352220000000001</v>
      </c>
      <c r="E158" t="s">
        <v>2</v>
      </c>
      <c r="F158" t="s">
        <v>2</v>
      </c>
    </row>
    <row r="159" spans="1:6" x14ac:dyDescent="0.25">
      <c r="A159" t="s">
        <v>80</v>
      </c>
      <c r="B159" t="s">
        <v>2</v>
      </c>
      <c r="C159" t="s">
        <v>2</v>
      </c>
      <c r="D159">
        <v>0.37973499999999999</v>
      </c>
      <c r="E159" t="s">
        <v>2</v>
      </c>
      <c r="F159" t="s">
        <v>2</v>
      </c>
    </row>
    <row r="160" spans="1:6" x14ac:dyDescent="0.25">
      <c r="A160" t="s">
        <v>63</v>
      </c>
      <c r="B160" t="s">
        <v>2</v>
      </c>
      <c r="C160" t="s">
        <v>2</v>
      </c>
      <c r="D160">
        <v>0.18415799999999999</v>
      </c>
      <c r="E160" t="s">
        <v>2</v>
      </c>
      <c r="F160" t="s">
        <v>2</v>
      </c>
    </row>
    <row r="161" spans="1:6" x14ac:dyDescent="0.25">
      <c r="A161" t="s">
        <v>64</v>
      </c>
      <c r="B161" t="s">
        <v>2</v>
      </c>
      <c r="C161" t="s">
        <v>2</v>
      </c>
      <c r="D161">
        <v>0.12664</v>
      </c>
      <c r="E161" t="s">
        <v>2</v>
      </c>
      <c r="F161" t="s">
        <v>2</v>
      </c>
    </row>
    <row r="162" spans="1:6" x14ac:dyDescent="0.25">
      <c r="A162" t="s">
        <v>65</v>
      </c>
      <c r="B162" t="s">
        <v>2</v>
      </c>
      <c r="C162" t="s">
        <v>2</v>
      </c>
      <c r="D162">
        <v>4.2303E-2</v>
      </c>
      <c r="E162" t="s">
        <v>2</v>
      </c>
      <c r="F162" t="s">
        <v>2</v>
      </c>
    </row>
    <row r="163" spans="1:6" x14ac:dyDescent="0.25">
      <c r="A163" t="s">
        <v>66</v>
      </c>
      <c r="B163" t="s">
        <v>2</v>
      </c>
      <c r="C163" t="s">
        <v>2</v>
      </c>
      <c r="D163">
        <v>1.9047000000000001E-2</v>
      </c>
      <c r="E163" t="s">
        <v>2</v>
      </c>
      <c r="F163" t="s">
        <v>2</v>
      </c>
    </row>
    <row r="164" spans="1:6" x14ac:dyDescent="0.25">
      <c r="A164" t="s">
        <v>81</v>
      </c>
      <c r="B164" t="s">
        <v>2</v>
      </c>
      <c r="C164" t="s">
        <v>2</v>
      </c>
      <c r="D164">
        <v>0.124094</v>
      </c>
      <c r="E164" t="s">
        <v>2</v>
      </c>
      <c r="F164" t="s">
        <v>2</v>
      </c>
    </row>
    <row r="165" spans="1:6" x14ac:dyDescent="0.25">
      <c r="A165" t="s">
        <v>2</v>
      </c>
      <c r="B165" t="s">
        <v>2</v>
      </c>
      <c r="C165" t="s">
        <v>2</v>
      </c>
      <c r="D165" t="s">
        <v>2</v>
      </c>
      <c r="E165" t="s">
        <v>2</v>
      </c>
      <c r="F165" t="s">
        <v>2</v>
      </c>
    </row>
    <row r="166" spans="1:6" x14ac:dyDescent="0.25">
      <c r="A166" t="s">
        <v>98</v>
      </c>
      <c r="B166" t="s">
        <v>164</v>
      </c>
      <c r="C166" t="s">
        <v>99</v>
      </c>
      <c r="D166" t="s">
        <v>2</v>
      </c>
      <c r="E166" t="s">
        <v>2</v>
      </c>
      <c r="F166" t="s">
        <v>2</v>
      </c>
    </row>
    <row r="167" spans="1:6" x14ac:dyDescent="0.25">
      <c r="A167" t="s">
        <v>3</v>
      </c>
      <c r="B167" t="s">
        <v>4</v>
      </c>
      <c r="C167" t="s">
        <v>5</v>
      </c>
      <c r="D167" t="s">
        <v>6</v>
      </c>
      <c r="E167" t="s">
        <v>7</v>
      </c>
      <c r="F167" t="s">
        <v>8</v>
      </c>
    </row>
    <row r="168" spans="1:6" x14ac:dyDescent="0.25">
      <c r="A168" t="s">
        <v>9</v>
      </c>
      <c r="B168" t="s">
        <v>10</v>
      </c>
      <c r="C168">
        <v>234557.89</v>
      </c>
      <c r="D168">
        <v>8.2159999999999993E-3</v>
      </c>
      <c r="E168" t="s">
        <v>2</v>
      </c>
      <c r="F168" t="s">
        <v>2</v>
      </c>
    </row>
    <row r="169" spans="1:6" x14ac:dyDescent="0.25">
      <c r="A169" t="s">
        <v>11</v>
      </c>
      <c r="B169" t="s">
        <v>12</v>
      </c>
      <c r="C169">
        <v>233448.68</v>
      </c>
      <c r="D169">
        <v>8.1770000000000002E-3</v>
      </c>
      <c r="E169" t="s">
        <v>2</v>
      </c>
      <c r="F169" t="s">
        <v>2</v>
      </c>
    </row>
    <row r="170" spans="1:6" x14ac:dyDescent="0.25">
      <c r="A170" t="s">
        <v>13</v>
      </c>
      <c r="B170" t="s">
        <v>14</v>
      </c>
      <c r="C170">
        <v>1109.21</v>
      </c>
      <c r="D170">
        <v>3.8999999999999999E-5</v>
      </c>
      <c r="E170" t="s">
        <v>2</v>
      </c>
      <c r="F170" t="s">
        <v>2</v>
      </c>
    </row>
    <row r="171" spans="1:6" x14ac:dyDescent="0.25">
      <c r="A171" t="s">
        <v>15</v>
      </c>
      <c r="B171" t="s">
        <v>16</v>
      </c>
      <c r="C171">
        <v>3943130.2</v>
      </c>
      <c r="D171">
        <v>0.13811699999999999</v>
      </c>
      <c r="E171" t="s">
        <v>2</v>
      </c>
      <c r="F171" t="s">
        <v>2</v>
      </c>
    </row>
    <row r="172" spans="1:6" x14ac:dyDescent="0.25">
      <c r="A172" t="s">
        <v>17</v>
      </c>
      <c r="B172" t="s">
        <v>18</v>
      </c>
      <c r="C172">
        <v>6035175.3899999997</v>
      </c>
      <c r="D172">
        <v>0.211396</v>
      </c>
      <c r="E172" t="s">
        <v>2</v>
      </c>
      <c r="F172" t="s">
        <v>2</v>
      </c>
    </row>
    <row r="173" spans="1:6" x14ac:dyDescent="0.25">
      <c r="A173" t="s">
        <v>19</v>
      </c>
      <c r="B173" t="s">
        <v>20</v>
      </c>
      <c r="C173">
        <v>2070369.56</v>
      </c>
      <c r="D173">
        <v>7.2519E-2</v>
      </c>
      <c r="E173" t="s">
        <v>2</v>
      </c>
      <c r="F173" t="s">
        <v>2</v>
      </c>
    </row>
    <row r="174" spans="1:6" x14ac:dyDescent="0.25">
      <c r="A174" t="s">
        <v>21</v>
      </c>
      <c r="B174" t="s">
        <v>22</v>
      </c>
      <c r="C174">
        <v>380.39</v>
      </c>
      <c r="D174">
        <v>1.2999999999999999E-5</v>
      </c>
      <c r="E174" t="s">
        <v>2</v>
      </c>
      <c r="F174" t="s">
        <v>2</v>
      </c>
    </row>
    <row r="175" spans="1:6" x14ac:dyDescent="0.25">
      <c r="A175" t="s">
        <v>23</v>
      </c>
      <c r="B175" t="s">
        <v>24</v>
      </c>
      <c r="C175">
        <v>5851538.0300000003</v>
      </c>
      <c r="D175">
        <v>0.20496300000000001</v>
      </c>
      <c r="E175">
        <v>62583.77</v>
      </c>
      <c r="F175" t="s">
        <v>2</v>
      </c>
    </row>
    <row r="176" spans="1:6" x14ac:dyDescent="0.25">
      <c r="A176" t="s">
        <v>25</v>
      </c>
      <c r="B176" t="s">
        <v>26</v>
      </c>
      <c r="C176">
        <v>3407144</v>
      </c>
      <c r="D176">
        <v>0.119343</v>
      </c>
      <c r="E176">
        <v>15329.33</v>
      </c>
      <c r="F176" t="s">
        <v>2</v>
      </c>
    </row>
    <row r="177" spans="1:6" x14ac:dyDescent="0.25">
      <c r="A177" t="s">
        <v>27</v>
      </c>
      <c r="B177" t="s">
        <v>28</v>
      </c>
      <c r="C177">
        <v>1192166</v>
      </c>
      <c r="D177">
        <v>4.1758000000000003E-2</v>
      </c>
      <c r="E177">
        <v>-35478.17</v>
      </c>
      <c r="F177" t="s">
        <v>2</v>
      </c>
    </row>
    <row r="178" spans="1:6" x14ac:dyDescent="0.25">
      <c r="A178" t="s">
        <v>29</v>
      </c>
      <c r="B178" t="s">
        <v>30</v>
      </c>
      <c r="C178">
        <v>192022</v>
      </c>
      <c r="D178">
        <v>6.7260000000000002E-3</v>
      </c>
      <c r="E178">
        <v>-1240.2</v>
      </c>
      <c r="F178" t="s">
        <v>2</v>
      </c>
    </row>
    <row r="179" spans="1:6" x14ac:dyDescent="0.25">
      <c r="A179" t="s">
        <v>69</v>
      </c>
      <c r="B179" t="s">
        <v>70</v>
      </c>
      <c r="C179">
        <v>988830.03</v>
      </c>
      <c r="D179">
        <v>3.4636E-2</v>
      </c>
      <c r="E179">
        <v>84006.36</v>
      </c>
      <c r="F179" t="s">
        <v>2</v>
      </c>
    </row>
    <row r="180" spans="1:6" x14ac:dyDescent="0.25">
      <c r="A180" t="s">
        <v>92</v>
      </c>
      <c r="B180" t="s">
        <v>93</v>
      </c>
      <c r="C180">
        <v>71376</v>
      </c>
      <c r="D180">
        <v>2.5000000000000001E-3</v>
      </c>
      <c r="E180">
        <v>-33.549999999999997</v>
      </c>
      <c r="F180" t="s">
        <v>2</v>
      </c>
    </row>
    <row r="181" spans="1:6" x14ac:dyDescent="0.25">
      <c r="A181" t="s">
        <v>71</v>
      </c>
      <c r="B181" t="s">
        <v>72</v>
      </c>
      <c r="C181">
        <v>12632666.57</v>
      </c>
      <c r="D181">
        <v>0.44248799999999999</v>
      </c>
      <c r="E181">
        <v>5925.56</v>
      </c>
      <c r="F181" t="s">
        <v>2</v>
      </c>
    </row>
    <row r="182" spans="1:6" x14ac:dyDescent="0.25">
      <c r="A182" t="s">
        <v>84</v>
      </c>
      <c r="B182" t="s">
        <v>85</v>
      </c>
      <c r="C182">
        <v>381811.5</v>
      </c>
      <c r="D182">
        <v>1.3374E-2</v>
      </c>
      <c r="E182">
        <v>5884.36</v>
      </c>
      <c r="F182" t="s">
        <v>2</v>
      </c>
    </row>
    <row r="183" spans="1:6" x14ac:dyDescent="0.25">
      <c r="A183" t="s">
        <v>73</v>
      </c>
      <c r="B183" t="s">
        <v>74</v>
      </c>
      <c r="C183">
        <v>12250855.07</v>
      </c>
      <c r="D183">
        <v>0.429114</v>
      </c>
      <c r="E183">
        <v>41.2</v>
      </c>
      <c r="F183" t="s">
        <v>2</v>
      </c>
    </row>
    <row r="184" spans="1:6" x14ac:dyDescent="0.25">
      <c r="A184" t="s">
        <v>86</v>
      </c>
      <c r="B184" t="s">
        <v>87</v>
      </c>
      <c r="C184">
        <v>4334.4399999999996</v>
      </c>
      <c r="D184">
        <v>1.5200000000000001E-4</v>
      </c>
      <c r="E184" t="s">
        <v>2</v>
      </c>
      <c r="F184" t="s">
        <v>2</v>
      </c>
    </row>
    <row r="185" spans="1:6" x14ac:dyDescent="0.25">
      <c r="A185" t="s">
        <v>100</v>
      </c>
      <c r="B185" t="s">
        <v>101</v>
      </c>
      <c r="C185">
        <v>4334.4399999999996</v>
      </c>
      <c r="D185">
        <v>1.5200000000000001E-4</v>
      </c>
      <c r="E185" t="s">
        <v>2</v>
      </c>
      <c r="F185" t="s">
        <v>2</v>
      </c>
    </row>
    <row r="186" spans="1:6" x14ac:dyDescent="0.25">
      <c r="A186" t="s">
        <v>31</v>
      </c>
      <c r="B186" t="s">
        <v>32</v>
      </c>
      <c r="C186">
        <v>199.99</v>
      </c>
      <c r="D186">
        <v>6.9999999999999999E-6</v>
      </c>
      <c r="E186" t="s">
        <v>2</v>
      </c>
      <c r="F186" t="s">
        <v>2</v>
      </c>
    </row>
    <row r="187" spans="1:6" x14ac:dyDescent="0.25">
      <c r="A187" t="s">
        <v>33</v>
      </c>
      <c r="B187" t="s">
        <v>34</v>
      </c>
      <c r="C187">
        <v>199.99</v>
      </c>
      <c r="D187">
        <v>6.9999999999999999E-6</v>
      </c>
      <c r="E187" t="s">
        <v>2</v>
      </c>
      <c r="F187" t="s">
        <v>2</v>
      </c>
    </row>
    <row r="188" spans="1:6" x14ac:dyDescent="0.25">
      <c r="A188" t="s">
        <v>35</v>
      </c>
      <c r="B188" t="s">
        <v>36</v>
      </c>
      <c r="C188">
        <v>89639.91</v>
      </c>
      <c r="D188">
        <v>3.14E-3</v>
      </c>
      <c r="E188">
        <v>89639.91</v>
      </c>
      <c r="F188" t="s">
        <v>2</v>
      </c>
    </row>
    <row r="189" spans="1:6" x14ac:dyDescent="0.25">
      <c r="A189" t="s">
        <v>37</v>
      </c>
      <c r="B189" t="s">
        <v>38</v>
      </c>
      <c r="C189">
        <v>12750</v>
      </c>
      <c r="D189">
        <v>4.4700000000000002E-4</v>
      </c>
      <c r="E189">
        <v>12750</v>
      </c>
      <c r="F189" t="s">
        <v>2</v>
      </c>
    </row>
    <row r="190" spans="1:6" x14ac:dyDescent="0.25">
      <c r="A190" t="s">
        <v>39</v>
      </c>
      <c r="B190" t="s">
        <v>40</v>
      </c>
      <c r="C190">
        <v>34211700</v>
      </c>
      <c r="D190">
        <v>1.198342</v>
      </c>
      <c r="E190">
        <v>12750</v>
      </c>
      <c r="F190" t="s">
        <v>2</v>
      </c>
    </row>
    <row r="191" spans="1:6" x14ac:dyDescent="0.25">
      <c r="A191" t="s">
        <v>41</v>
      </c>
      <c r="B191" t="s">
        <v>42</v>
      </c>
      <c r="C191">
        <v>153952.26999999999</v>
      </c>
      <c r="D191">
        <v>5.3930000000000002E-3</v>
      </c>
      <c r="E191">
        <v>153952.26999999999</v>
      </c>
      <c r="F191" t="s">
        <v>2</v>
      </c>
    </row>
    <row r="192" spans="1:6" x14ac:dyDescent="0.25">
      <c r="A192" t="s">
        <v>43</v>
      </c>
      <c r="B192" t="s">
        <v>44</v>
      </c>
      <c r="C192">
        <v>16368390</v>
      </c>
      <c r="D192">
        <v>0.57333999999999996</v>
      </c>
      <c r="E192">
        <v>153952.26999999999</v>
      </c>
      <c r="F192" t="s">
        <v>2</v>
      </c>
    </row>
    <row r="193" spans="1:6" x14ac:dyDescent="0.25">
      <c r="A193" t="s">
        <v>94</v>
      </c>
      <c r="B193" t="s">
        <v>95</v>
      </c>
      <c r="C193">
        <v>-4440</v>
      </c>
      <c r="D193">
        <v>-1.56E-4</v>
      </c>
      <c r="E193">
        <v>-4440</v>
      </c>
      <c r="F193" t="s">
        <v>2</v>
      </c>
    </row>
    <row r="194" spans="1:6" x14ac:dyDescent="0.25">
      <c r="A194" t="s">
        <v>96</v>
      </c>
      <c r="B194" t="s">
        <v>97</v>
      </c>
      <c r="C194">
        <v>-1762080</v>
      </c>
      <c r="D194">
        <v>-6.1720999999999998E-2</v>
      </c>
      <c r="E194">
        <v>-4440</v>
      </c>
      <c r="F194" t="s">
        <v>2</v>
      </c>
    </row>
    <row r="195" spans="1:6" x14ac:dyDescent="0.25">
      <c r="A195" t="s">
        <v>45</v>
      </c>
      <c r="B195" t="s">
        <v>46</v>
      </c>
      <c r="C195">
        <v>-4990</v>
      </c>
      <c r="D195">
        <v>-1.75E-4</v>
      </c>
      <c r="E195">
        <v>-4990</v>
      </c>
      <c r="F195" t="s">
        <v>2</v>
      </c>
    </row>
    <row r="196" spans="1:6" x14ac:dyDescent="0.25">
      <c r="A196" t="s">
        <v>47</v>
      </c>
      <c r="B196" t="s">
        <v>48</v>
      </c>
      <c r="C196">
        <v>431550</v>
      </c>
      <c r="D196">
        <v>1.5115999999999999E-2</v>
      </c>
      <c r="E196">
        <v>-4990</v>
      </c>
      <c r="F196" t="s">
        <v>2</v>
      </c>
    </row>
    <row r="197" spans="1:6" x14ac:dyDescent="0.25">
      <c r="A197" t="s">
        <v>102</v>
      </c>
      <c r="B197" t="s">
        <v>103</v>
      </c>
      <c r="C197">
        <v>1050</v>
      </c>
      <c r="D197">
        <v>3.6999999999999998E-5</v>
      </c>
      <c r="E197">
        <v>1050</v>
      </c>
      <c r="F197" t="s">
        <v>2</v>
      </c>
    </row>
    <row r="198" spans="1:6" x14ac:dyDescent="0.25">
      <c r="A198" t="s">
        <v>104</v>
      </c>
      <c r="B198" t="s">
        <v>105</v>
      </c>
      <c r="C198">
        <v>-458100</v>
      </c>
      <c r="D198">
        <v>-1.6046000000000001E-2</v>
      </c>
      <c r="E198">
        <v>1050</v>
      </c>
      <c r="F198" t="s">
        <v>2</v>
      </c>
    </row>
    <row r="199" spans="1:6" x14ac:dyDescent="0.25">
      <c r="A199" t="s">
        <v>49</v>
      </c>
      <c r="B199" t="s">
        <v>50</v>
      </c>
      <c r="C199">
        <v>65200</v>
      </c>
      <c r="D199">
        <v>2.284E-3</v>
      </c>
      <c r="E199">
        <v>65200</v>
      </c>
      <c r="F199" t="s">
        <v>2</v>
      </c>
    </row>
    <row r="200" spans="1:6" x14ac:dyDescent="0.25">
      <c r="A200" t="s">
        <v>51</v>
      </c>
      <c r="B200" t="s">
        <v>52</v>
      </c>
      <c r="C200">
        <v>2782860</v>
      </c>
      <c r="D200">
        <v>9.7475999999999993E-2</v>
      </c>
      <c r="E200">
        <v>65200</v>
      </c>
      <c r="F200" t="s">
        <v>2</v>
      </c>
    </row>
    <row r="201" spans="1:6" x14ac:dyDescent="0.25">
      <c r="A201" t="s">
        <v>53</v>
      </c>
      <c r="B201" t="s">
        <v>54</v>
      </c>
      <c r="C201">
        <v>6240</v>
      </c>
      <c r="D201">
        <v>2.1900000000000001E-4</v>
      </c>
      <c r="E201">
        <v>6240</v>
      </c>
      <c r="F201" t="s">
        <v>2</v>
      </c>
    </row>
    <row r="202" spans="1:6" x14ac:dyDescent="0.25">
      <c r="A202" t="s">
        <v>55</v>
      </c>
      <c r="B202" t="s">
        <v>56</v>
      </c>
      <c r="C202">
        <v>-434915</v>
      </c>
      <c r="D202">
        <v>-1.5233999999999999E-2</v>
      </c>
      <c r="E202">
        <v>6240</v>
      </c>
      <c r="F202" t="s">
        <v>2</v>
      </c>
    </row>
    <row r="203" spans="1:6" x14ac:dyDescent="0.25">
      <c r="A203" t="s">
        <v>75</v>
      </c>
      <c r="B203" t="s">
        <v>76</v>
      </c>
      <c r="C203">
        <v>-90300</v>
      </c>
      <c r="D203">
        <v>-3.163E-3</v>
      </c>
      <c r="E203">
        <v>-90300</v>
      </c>
      <c r="F203" t="s">
        <v>2</v>
      </c>
    </row>
    <row r="204" spans="1:6" x14ac:dyDescent="0.25">
      <c r="A204" t="s">
        <v>77</v>
      </c>
      <c r="B204" t="s">
        <v>78</v>
      </c>
      <c r="C204">
        <v>-1785700</v>
      </c>
      <c r="D204">
        <v>-6.2548000000000006E-2</v>
      </c>
      <c r="E204">
        <v>-90300</v>
      </c>
      <c r="F204" t="s">
        <v>2</v>
      </c>
    </row>
    <row r="205" spans="1:6" x14ac:dyDescent="0.25">
      <c r="A205" t="s">
        <v>106</v>
      </c>
      <c r="B205" t="s">
        <v>107</v>
      </c>
      <c r="C205">
        <v>-49822.36</v>
      </c>
      <c r="D205">
        <v>-1.745E-3</v>
      </c>
      <c r="E205">
        <v>-49822.36</v>
      </c>
      <c r="F205" t="s">
        <v>2</v>
      </c>
    </row>
    <row r="206" spans="1:6" x14ac:dyDescent="0.25">
      <c r="A206" t="s">
        <v>108</v>
      </c>
      <c r="B206" t="s">
        <v>109</v>
      </c>
      <c r="C206">
        <v>-49822.36</v>
      </c>
      <c r="D206">
        <v>-1.745E-3</v>
      </c>
      <c r="E206">
        <v>-49822.36</v>
      </c>
      <c r="F206" t="s">
        <v>2</v>
      </c>
    </row>
    <row r="207" spans="1:6" x14ac:dyDescent="0.25">
      <c r="A207" t="s">
        <v>79</v>
      </c>
      <c r="B207" t="s">
        <v>2</v>
      </c>
      <c r="C207" t="s">
        <v>2</v>
      </c>
      <c r="D207">
        <v>0.44248799999999999</v>
      </c>
      <c r="E207" t="s">
        <v>2</v>
      </c>
      <c r="F207" t="s">
        <v>2</v>
      </c>
    </row>
    <row r="208" spans="1:6" x14ac:dyDescent="0.25">
      <c r="A208" t="s">
        <v>61</v>
      </c>
      <c r="B208" t="s">
        <v>2</v>
      </c>
      <c r="C208" t="s">
        <v>2</v>
      </c>
      <c r="D208">
        <v>0.20496300000000001</v>
      </c>
      <c r="E208" t="s">
        <v>2</v>
      </c>
      <c r="F208" t="s">
        <v>2</v>
      </c>
    </row>
    <row r="209" spans="1:6" x14ac:dyDescent="0.25">
      <c r="A209" t="s">
        <v>62</v>
      </c>
      <c r="B209" t="s">
        <v>2</v>
      </c>
      <c r="C209" t="s">
        <v>2</v>
      </c>
      <c r="D209">
        <v>1.7287239999999999</v>
      </c>
      <c r="E209" t="s">
        <v>2</v>
      </c>
      <c r="F209" t="s">
        <v>2</v>
      </c>
    </row>
    <row r="210" spans="1:6" x14ac:dyDescent="0.25">
      <c r="A210" t="s">
        <v>80</v>
      </c>
      <c r="B210" t="s">
        <v>2</v>
      </c>
      <c r="C210" t="s">
        <v>2</v>
      </c>
      <c r="D210">
        <v>0.44248799999999999</v>
      </c>
      <c r="E210" t="s">
        <v>2</v>
      </c>
      <c r="F210" t="s">
        <v>2</v>
      </c>
    </row>
    <row r="211" spans="1:6" x14ac:dyDescent="0.25">
      <c r="A211" t="s">
        <v>63</v>
      </c>
      <c r="B211" t="s">
        <v>2</v>
      </c>
      <c r="C211" t="s">
        <v>2</v>
      </c>
      <c r="D211">
        <v>0.20496300000000001</v>
      </c>
      <c r="E211" t="s">
        <v>2</v>
      </c>
      <c r="F211" t="s">
        <v>2</v>
      </c>
    </row>
    <row r="212" spans="1:6" x14ac:dyDescent="0.25">
      <c r="A212" t="s">
        <v>64</v>
      </c>
      <c r="B212" t="s">
        <v>2</v>
      </c>
      <c r="C212" t="s">
        <v>2</v>
      </c>
      <c r="D212">
        <v>0.12184300000000001</v>
      </c>
      <c r="E212" t="s">
        <v>2</v>
      </c>
      <c r="F212" t="s">
        <v>2</v>
      </c>
    </row>
    <row r="213" spans="1:6" x14ac:dyDescent="0.25">
      <c r="A213" t="s">
        <v>65</v>
      </c>
      <c r="B213" t="s">
        <v>2</v>
      </c>
      <c r="C213" t="s">
        <v>2</v>
      </c>
      <c r="D213">
        <v>4.8483999999999999E-2</v>
      </c>
      <c r="E213" t="s">
        <v>2</v>
      </c>
      <c r="F213" t="s">
        <v>2</v>
      </c>
    </row>
    <row r="214" spans="1:6" x14ac:dyDescent="0.25">
      <c r="A214" t="s">
        <v>66</v>
      </c>
      <c r="B214" t="s">
        <v>2</v>
      </c>
      <c r="C214" t="s">
        <v>2</v>
      </c>
      <c r="D214">
        <v>6.7260000000000002E-3</v>
      </c>
      <c r="E214" t="s">
        <v>2</v>
      </c>
      <c r="F214" t="s">
        <v>2</v>
      </c>
    </row>
    <row r="215" spans="1:6" x14ac:dyDescent="0.25">
      <c r="A215" t="s">
        <v>81</v>
      </c>
      <c r="B215" t="s">
        <v>2</v>
      </c>
      <c r="C215" t="s">
        <v>2</v>
      </c>
      <c r="D215">
        <v>0.11097600000000001</v>
      </c>
      <c r="E215" t="s">
        <v>2</v>
      </c>
      <c r="F215" t="s">
        <v>2</v>
      </c>
    </row>
    <row r="216" spans="1:6" x14ac:dyDescent="0.25">
      <c r="A216" t="s">
        <v>2</v>
      </c>
      <c r="B216" t="s">
        <v>2</v>
      </c>
      <c r="C216" t="s">
        <v>2</v>
      </c>
      <c r="D216" t="s">
        <v>2</v>
      </c>
      <c r="E216" t="s">
        <v>2</v>
      </c>
      <c r="F216" t="s">
        <v>2</v>
      </c>
    </row>
    <row r="217" spans="1:6" x14ac:dyDescent="0.25">
      <c r="A217" t="s">
        <v>110</v>
      </c>
      <c r="B217" t="s">
        <v>165</v>
      </c>
      <c r="C217" t="s">
        <v>111</v>
      </c>
      <c r="D217" t="s">
        <v>2</v>
      </c>
      <c r="E217" t="s">
        <v>2</v>
      </c>
      <c r="F217" t="s">
        <v>2</v>
      </c>
    </row>
    <row r="218" spans="1:6" x14ac:dyDescent="0.25">
      <c r="A218" t="s">
        <v>3</v>
      </c>
      <c r="B218" t="s">
        <v>4</v>
      </c>
      <c r="C218" t="s">
        <v>5</v>
      </c>
      <c r="D218" t="s">
        <v>6</v>
      </c>
      <c r="E218" t="s">
        <v>7</v>
      </c>
      <c r="F218" t="s">
        <v>8</v>
      </c>
    </row>
    <row r="219" spans="1:6" x14ac:dyDescent="0.25">
      <c r="A219" t="s">
        <v>9</v>
      </c>
      <c r="B219" t="s">
        <v>10</v>
      </c>
      <c r="C219">
        <v>227769.46</v>
      </c>
      <c r="D219">
        <v>5.8570000000000002E-3</v>
      </c>
      <c r="E219" t="s">
        <v>2</v>
      </c>
      <c r="F219" t="s">
        <v>2</v>
      </c>
    </row>
    <row r="220" spans="1:6" x14ac:dyDescent="0.25">
      <c r="A220" t="s">
        <v>11</v>
      </c>
      <c r="B220" t="s">
        <v>12</v>
      </c>
      <c r="C220">
        <v>227751.78</v>
      </c>
      <c r="D220">
        <v>5.8560000000000001E-3</v>
      </c>
      <c r="E220" t="s">
        <v>2</v>
      </c>
      <c r="F220" t="s">
        <v>2</v>
      </c>
    </row>
    <row r="221" spans="1:6" x14ac:dyDescent="0.25">
      <c r="A221" t="s">
        <v>13</v>
      </c>
      <c r="B221" t="s">
        <v>14</v>
      </c>
      <c r="C221">
        <v>17.68</v>
      </c>
      <c r="D221">
        <v>0</v>
      </c>
      <c r="E221" t="s">
        <v>2</v>
      </c>
      <c r="F221" t="s">
        <v>2</v>
      </c>
    </row>
    <row r="222" spans="1:6" x14ac:dyDescent="0.25">
      <c r="A222" t="s">
        <v>15</v>
      </c>
      <c r="B222" t="s">
        <v>16</v>
      </c>
      <c r="C222">
        <v>5696474.9800000004</v>
      </c>
      <c r="D222">
        <v>0.14647099999999999</v>
      </c>
      <c r="E222" t="s">
        <v>2</v>
      </c>
      <c r="F222" t="s">
        <v>2</v>
      </c>
    </row>
    <row r="223" spans="1:6" x14ac:dyDescent="0.25">
      <c r="A223" t="s">
        <v>17</v>
      </c>
      <c r="B223" t="s">
        <v>18</v>
      </c>
      <c r="C223">
        <v>8001385.25</v>
      </c>
      <c r="D223">
        <v>0.205737</v>
      </c>
      <c r="E223" t="s">
        <v>2</v>
      </c>
      <c r="F223" t="s">
        <v>2</v>
      </c>
    </row>
    <row r="224" spans="1:6" x14ac:dyDescent="0.25">
      <c r="A224" t="s">
        <v>19</v>
      </c>
      <c r="B224" t="s">
        <v>20</v>
      </c>
      <c r="C224">
        <v>1481007.35</v>
      </c>
      <c r="D224">
        <v>3.8080999999999997E-2</v>
      </c>
      <c r="E224" t="s">
        <v>2</v>
      </c>
      <c r="F224" t="s">
        <v>2</v>
      </c>
    </row>
    <row r="225" spans="1:6" x14ac:dyDescent="0.25">
      <c r="A225" t="s">
        <v>21</v>
      </c>
      <c r="B225" t="s">
        <v>22</v>
      </c>
      <c r="C225">
        <v>60.38</v>
      </c>
      <c r="D225">
        <v>1.9999999999999999E-6</v>
      </c>
      <c r="E225" t="s">
        <v>2</v>
      </c>
      <c r="F225" t="s">
        <v>2</v>
      </c>
    </row>
    <row r="226" spans="1:6" x14ac:dyDescent="0.25">
      <c r="A226" t="s">
        <v>23</v>
      </c>
      <c r="B226" t="s">
        <v>24</v>
      </c>
      <c r="C226">
        <v>8692342.1199999992</v>
      </c>
      <c r="D226">
        <v>0.22350300000000001</v>
      </c>
      <c r="E226">
        <v>39214.639999999999</v>
      </c>
      <c r="F226" t="s">
        <v>2</v>
      </c>
    </row>
    <row r="227" spans="1:6" x14ac:dyDescent="0.25">
      <c r="A227" t="s">
        <v>25</v>
      </c>
      <c r="B227" t="s">
        <v>26</v>
      </c>
      <c r="C227">
        <v>4489741.2</v>
      </c>
      <c r="D227">
        <v>0.115443</v>
      </c>
      <c r="E227">
        <v>23275.51</v>
      </c>
      <c r="F227" t="s">
        <v>2</v>
      </c>
    </row>
    <row r="228" spans="1:6" x14ac:dyDescent="0.25">
      <c r="A228" t="s">
        <v>27</v>
      </c>
      <c r="B228" t="s">
        <v>28</v>
      </c>
      <c r="C228">
        <v>1729048</v>
      </c>
      <c r="D228">
        <v>4.4457999999999998E-2</v>
      </c>
      <c r="E228">
        <v>-20704.5</v>
      </c>
      <c r="F228" t="s">
        <v>2</v>
      </c>
    </row>
    <row r="229" spans="1:6" x14ac:dyDescent="0.25">
      <c r="A229" t="s">
        <v>29</v>
      </c>
      <c r="B229" t="s">
        <v>30</v>
      </c>
      <c r="C229">
        <v>303663</v>
      </c>
      <c r="D229">
        <v>7.8079999999999998E-3</v>
      </c>
      <c r="E229">
        <v>-17513.77</v>
      </c>
      <c r="F229" t="s">
        <v>2</v>
      </c>
    </row>
    <row r="230" spans="1:6" x14ac:dyDescent="0.25">
      <c r="A230" t="s">
        <v>69</v>
      </c>
      <c r="B230" t="s">
        <v>70</v>
      </c>
      <c r="C230">
        <v>2065851.92</v>
      </c>
      <c r="D230">
        <v>5.3117999999999999E-2</v>
      </c>
      <c r="E230">
        <v>58664.9</v>
      </c>
      <c r="F230" t="s">
        <v>2</v>
      </c>
    </row>
    <row r="231" spans="1:6" x14ac:dyDescent="0.25">
      <c r="A231" t="s">
        <v>92</v>
      </c>
      <c r="B231" t="s">
        <v>93</v>
      </c>
      <c r="C231">
        <v>104038</v>
      </c>
      <c r="D231">
        <v>2.6749999999999999E-3</v>
      </c>
      <c r="E231">
        <v>-4507.5</v>
      </c>
      <c r="F231" t="s">
        <v>2</v>
      </c>
    </row>
    <row r="232" spans="1:6" x14ac:dyDescent="0.25">
      <c r="A232" t="s">
        <v>71</v>
      </c>
      <c r="B232" t="s">
        <v>72</v>
      </c>
      <c r="C232">
        <v>16259558.68</v>
      </c>
      <c r="D232">
        <v>0.418076</v>
      </c>
      <c r="E232">
        <v>-19572.939999999999</v>
      </c>
      <c r="F232" t="s">
        <v>2</v>
      </c>
    </row>
    <row r="233" spans="1:6" x14ac:dyDescent="0.25">
      <c r="A233" t="s">
        <v>84</v>
      </c>
      <c r="B233" t="s">
        <v>85</v>
      </c>
      <c r="C233">
        <v>599084.4</v>
      </c>
      <c r="D233">
        <v>1.5403999999999999E-2</v>
      </c>
      <c r="E233" t="s">
        <v>2</v>
      </c>
      <c r="F233" t="s">
        <v>2</v>
      </c>
    </row>
    <row r="234" spans="1:6" x14ac:dyDescent="0.25">
      <c r="A234" t="s">
        <v>73</v>
      </c>
      <c r="B234" t="s">
        <v>74</v>
      </c>
      <c r="C234">
        <v>15067083.58</v>
      </c>
      <c r="D234">
        <v>0.38741399999999998</v>
      </c>
      <c r="E234">
        <v>45.71</v>
      </c>
      <c r="F234" t="s">
        <v>2</v>
      </c>
    </row>
    <row r="235" spans="1:6" x14ac:dyDescent="0.25">
      <c r="A235" t="s">
        <v>112</v>
      </c>
      <c r="B235" t="s">
        <v>113</v>
      </c>
      <c r="C235">
        <v>593390.69999999995</v>
      </c>
      <c r="D235">
        <v>1.5258000000000001E-2</v>
      </c>
      <c r="E235">
        <v>-19618.650000000001</v>
      </c>
      <c r="F235" t="s">
        <v>2</v>
      </c>
    </row>
    <row r="236" spans="1:6" x14ac:dyDescent="0.25">
      <c r="A236" t="s">
        <v>86</v>
      </c>
      <c r="B236" t="s">
        <v>87</v>
      </c>
      <c r="C236">
        <v>26641.94</v>
      </c>
      <c r="D236">
        <v>6.8499999999999995E-4</v>
      </c>
      <c r="E236" t="s">
        <v>2</v>
      </c>
      <c r="F236" t="s">
        <v>2</v>
      </c>
    </row>
    <row r="237" spans="1:6" x14ac:dyDescent="0.25">
      <c r="A237" t="s">
        <v>100</v>
      </c>
      <c r="B237" t="s">
        <v>101</v>
      </c>
      <c r="C237">
        <v>26641.94</v>
      </c>
      <c r="D237">
        <v>6.8499999999999995E-4</v>
      </c>
      <c r="E237" t="s">
        <v>2</v>
      </c>
      <c r="F237" t="s">
        <v>2</v>
      </c>
    </row>
    <row r="238" spans="1:6" x14ac:dyDescent="0.25">
      <c r="A238" t="s">
        <v>35</v>
      </c>
      <c r="B238" t="s">
        <v>36</v>
      </c>
      <c r="C238">
        <v>599033.44999999995</v>
      </c>
      <c r="D238">
        <v>1.5403E-2</v>
      </c>
      <c r="E238">
        <v>599033.44999999995</v>
      </c>
      <c r="F238" t="s">
        <v>2</v>
      </c>
    </row>
    <row r="239" spans="1:6" x14ac:dyDescent="0.25">
      <c r="A239" t="s">
        <v>37</v>
      </c>
      <c r="B239" t="s">
        <v>38</v>
      </c>
      <c r="C239">
        <v>251900</v>
      </c>
      <c r="D239">
        <v>6.4770000000000001E-3</v>
      </c>
      <c r="E239">
        <v>251900</v>
      </c>
      <c r="F239" t="s">
        <v>2</v>
      </c>
    </row>
    <row r="240" spans="1:6" x14ac:dyDescent="0.25">
      <c r="A240" t="s">
        <v>39</v>
      </c>
      <c r="B240" t="s">
        <v>40</v>
      </c>
      <c r="C240">
        <v>39645300</v>
      </c>
      <c r="D240">
        <v>1.019385</v>
      </c>
      <c r="E240">
        <v>251900</v>
      </c>
      <c r="F240" t="s">
        <v>2</v>
      </c>
    </row>
    <row r="241" spans="1:6" x14ac:dyDescent="0.25">
      <c r="A241" t="s">
        <v>41</v>
      </c>
      <c r="B241" t="s">
        <v>42</v>
      </c>
      <c r="C241">
        <v>-14823.56</v>
      </c>
      <c r="D241">
        <v>-3.8099999999999999E-4</v>
      </c>
      <c r="E241">
        <v>-14823.56</v>
      </c>
      <c r="F241" t="s">
        <v>2</v>
      </c>
    </row>
    <row r="242" spans="1:6" x14ac:dyDescent="0.25">
      <c r="A242" t="s">
        <v>43</v>
      </c>
      <c r="B242" t="s">
        <v>44</v>
      </c>
      <c r="C242">
        <v>20220830</v>
      </c>
      <c r="D242">
        <v>0.51993100000000003</v>
      </c>
      <c r="E242">
        <v>-14823.56</v>
      </c>
      <c r="F242" t="s">
        <v>2</v>
      </c>
    </row>
    <row r="243" spans="1:6" x14ac:dyDescent="0.25">
      <c r="A243" t="s">
        <v>94</v>
      </c>
      <c r="B243" t="s">
        <v>95</v>
      </c>
      <c r="C243">
        <v>-9340</v>
      </c>
      <c r="D243">
        <v>-2.4000000000000001E-4</v>
      </c>
      <c r="E243">
        <v>-9340</v>
      </c>
      <c r="F243" t="s">
        <v>2</v>
      </c>
    </row>
    <row r="244" spans="1:6" x14ac:dyDescent="0.25">
      <c r="A244" t="s">
        <v>96</v>
      </c>
      <c r="B244" t="s">
        <v>97</v>
      </c>
      <c r="C244">
        <v>-2441480</v>
      </c>
      <c r="D244">
        <v>-6.2776999999999999E-2</v>
      </c>
      <c r="E244">
        <v>-9340</v>
      </c>
      <c r="F244" t="s">
        <v>2</v>
      </c>
    </row>
    <row r="245" spans="1:6" x14ac:dyDescent="0.25">
      <c r="A245" t="s">
        <v>45</v>
      </c>
      <c r="B245" t="s">
        <v>46</v>
      </c>
      <c r="C245">
        <v>18580</v>
      </c>
      <c r="D245">
        <v>4.7800000000000002E-4</v>
      </c>
      <c r="E245">
        <v>18580</v>
      </c>
      <c r="F245" t="s">
        <v>2</v>
      </c>
    </row>
    <row r="246" spans="1:6" x14ac:dyDescent="0.25">
      <c r="A246" t="s">
        <v>47</v>
      </c>
      <c r="B246" t="s">
        <v>48</v>
      </c>
      <c r="C246">
        <v>1782560</v>
      </c>
      <c r="D246">
        <v>4.5834E-2</v>
      </c>
      <c r="E246">
        <v>18580</v>
      </c>
      <c r="F246" t="s">
        <v>2</v>
      </c>
    </row>
    <row r="247" spans="1:6" x14ac:dyDescent="0.25">
      <c r="A247" t="s">
        <v>102</v>
      </c>
      <c r="B247" t="s">
        <v>103</v>
      </c>
      <c r="C247">
        <v>22050</v>
      </c>
      <c r="D247">
        <v>5.6700000000000001E-4</v>
      </c>
      <c r="E247">
        <v>22050</v>
      </c>
      <c r="F247" t="s">
        <v>2</v>
      </c>
    </row>
    <row r="248" spans="1:6" x14ac:dyDescent="0.25">
      <c r="A248" t="s">
        <v>104</v>
      </c>
      <c r="B248" t="s">
        <v>105</v>
      </c>
      <c r="C248">
        <v>-587200</v>
      </c>
      <c r="D248">
        <v>-1.5098E-2</v>
      </c>
      <c r="E248">
        <v>22050</v>
      </c>
      <c r="F248" t="s">
        <v>2</v>
      </c>
    </row>
    <row r="249" spans="1:6" x14ac:dyDescent="0.25">
      <c r="A249" t="s">
        <v>49</v>
      </c>
      <c r="B249" t="s">
        <v>50</v>
      </c>
      <c r="C249">
        <v>22080</v>
      </c>
      <c r="D249">
        <v>5.6800000000000004E-4</v>
      </c>
      <c r="E249">
        <v>22080</v>
      </c>
      <c r="F249" t="s">
        <v>2</v>
      </c>
    </row>
    <row r="250" spans="1:6" x14ac:dyDescent="0.25">
      <c r="A250" t="s">
        <v>51</v>
      </c>
      <c r="B250" t="s">
        <v>52</v>
      </c>
      <c r="C250">
        <v>5372630</v>
      </c>
      <c r="D250">
        <v>0.13814399999999999</v>
      </c>
      <c r="E250">
        <v>22080</v>
      </c>
      <c r="F250" t="s">
        <v>2</v>
      </c>
    </row>
    <row r="251" spans="1:6" x14ac:dyDescent="0.25">
      <c r="A251" t="s">
        <v>53</v>
      </c>
      <c r="B251" t="s">
        <v>54</v>
      </c>
      <c r="C251">
        <v>55525</v>
      </c>
      <c r="D251">
        <v>1.428E-3</v>
      </c>
      <c r="E251">
        <v>55525</v>
      </c>
      <c r="F251" t="s">
        <v>2</v>
      </c>
    </row>
    <row r="252" spans="1:6" x14ac:dyDescent="0.25">
      <c r="A252" t="s">
        <v>55</v>
      </c>
      <c r="B252" t="s">
        <v>56</v>
      </c>
      <c r="C252">
        <v>-4037800</v>
      </c>
      <c r="D252">
        <v>-0.103822</v>
      </c>
      <c r="E252">
        <v>55525</v>
      </c>
      <c r="F252" t="s">
        <v>2</v>
      </c>
    </row>
    <row r="253" spans="1:6" x14ac:dyDescent="0.25">
      <c r="A253" t="s">
        <v>75</v>
      </c>
      <c r="B253" t="s">
        <v>76</v>
      </c>
      <c r="C253">
        <v>141000</v>
      </c>
      <c r="D253">
        <v>3.6250000000000002E-3</v>
      </c>
      <c r="E253">
        <v>141000</v>
      </c>
      <c r="F253" t="s">
        <v>2</v>
      </c>
    </row>
    <row r="254" spans="1:6" x14ac:dyDescent="0.25">
      <c r="A254" t="s">
        <v>77</v>
      </c>
      <c r="B254" t="s">
        <v>78</v>
      </c>
      <c r="C254">
        <v>-2275000</v>
      </c>
      <c r="D254">
        <v>-5.8495999999999999E-2</v>
      </c>
      <c r="E254">
        <v>141000</v>
      </c>
      <c r="F254" t="s">
        <v>2</v>
      </c>
    </row>
    <row r="255" spans="1:6" x14ac:dyDescent="0.25">
      <c r="A255" t="s">
        <v>106</v>
      </c>
      <c r="B255" t="s">
        <v>107</v>
      </c>
      <c r="C255">
        <v>112062.01</v>
      </c>
      <c r="D255">
        <v>2.8809999999999999E-3</v>
      </c>
      <c r="E255">
        <v>112062.01</v>
      </c>
      <c r="F255" t="s">
        <v>2</v>
      </c>
    </row>
    <row r="256" spans="1:6" x14ac:dyDescent="0.25">
      <c r="A256" t="s">
        <v>108</v>
      </c>
      <c r="B256" t="s">
        <v>109</v>
      </c>
      <c r="C256">
        <v>112062.01</v>
      </c>
      <c r="D256">
        <v>2.8809999999999999E-3</v>
      </c>
      <c r="E256">
        <v>112062.01</v>
      </c>
      <c r="F256" t="s">
        <v>2</v>
      </c>
    </row>
    <row r="257" spans="1:6" x14ac:dyDescent="0.25">
      <c r="A257" t="s">
        <v>79</v>
      </c>
      <c r="B257" t="s">
        <v>2</v>
      </c>
      <c r="C257" t="s">
        <v>2</v>
      </c>
      <c r="D257">
        <v>0.418076</v>
      </c>
      <c r="E257" t="s">
        <v>2</v>
      </c>
      <c r="F257" t="s">
        <v>2</v>
      </c>
    </row>
    <row r="258" spans="1:6" x14ac:dyDescent="0.25">
      <c r="A258" t="s">
        <v>61</v>
      </c>
      <c r="B258" t="s">
        <v>2</v>
      </c>
      <c r="C258" t="s">
        <v>2</v>
      </c>
      <c r="D258">
        <v>0.22350300000000001</v>
      </c>
      <c r="E258" t="s">
        <v>2</v>
      </c>
      <c r="F258" t="s">
        <v>2</v>
      </c>
    </row>
    <row r="259" spans="1:6" x14ac:dyDescent="0.25">
      <c r="A259" t="s">
        <v>62</v>
      </c>
      <c r="B259" t="s">
        <v>2</v>
      </c>
      <c r="C259" t="s">
        <v>2</v>
      </c>
      <c r="D259">
        <v>1.4831000000000001</v>
      </c>
      <c r="E259" t="s">
        <v>2</v>
      </c>
      <c r="F259" t="s">
        <v>2</v>
      </c>
    </row>
    <row r="260" spans="1:6" x14ac:dyDescent="0.25">
      <c r="A260" t="s">
        <v>80</v>
      </c>
      <c r="B260" t="s">
        <v>2</v>
      </c>
      <c r="C260" t="s">
        <v>2</v>
      </c>
      <c r="D260">
        <v>0.418076</v>
      </c>
      <c r="E260" t="s">
        <v>2</v>
      </c>
      <c r="F260" t="s">
        <v>2</v>
      </c>
    </row>
    <row r="261" spans="1:6" x14ac:dyDescent="0.25">
      <c r="A261" t="s">
        <v>63</v>
      </c>
      <c r="B261" t="s">
        <v>2</v>
      </c>
      <c r="C261" t="s">
        <v>2</v>
      </c>
      <c r="D261">
        <v>0.22350300000000001</v>
      </c>
      <c r="E261" t="s">
        <v>2</v>
      </c>
      <c r="F261" t="s">
        <v>2</v>
      </c>
    </row>
    <row r="262" spans="1:6" x14ac:dyDescent="0.25">
      <c r="A262" t="s">
        <v>64</v>
      </c>
      <c r="B262" t="s">
        <v>2</v>
      </c>
      <c r="C262" t="s">
        <v>2</v>
      </c>
      <c r="D262">
        <v>0.118118</v>
      </c>
      <c r="E262" t="s">
        <v>2</v>
      </c>
      <c r="F262" t="s">
        <v>2</v>
      </c>
    </row>
    <row r="263" spans="1:6" x14ac:dyDescent="0.25">
      <c r="A263" t="s">
        <v>65</v>
      </c>
      <c r="B263" t="s">
        <v>2</v>
      </c>
      <c r="C263" t="s">
        <v>2</v>
      </c>
      <c r="D263">
        <v>5.2266E-2</v>
      </c>
      <c r="E263" t="s">
        <v>2</v>
      </c>
      <c r="F263" t="s">
        <v>2</v>
      </c>
    </row>
    <row r="264" spans="1:6" x14ac:dyDescent="0.25">
      <c r="A264" t="s">
        <v>66</v>
      </c>
      <c r="B264" t="s">
        <v>2</v>
      </c>
      <c r="C264" t="s">
        <v>2</v>
      </c>
      <c r="D264">
        <v>7.8079999999999998E-3</v>
      </c>
      <c r="E264" t="s">
        <v>2</v>
      </c>
      <c r="F264" t="s">
        <v>2</v>
      </c>
    </row>
    <row r="265" spans="1:6" x14ac:dyDescent="0.25">
      <c r="A265" t="s">
        <v>81</v>
      </c>
      <c r="B265" t="s">
        <v>2</v>
      </c>
      <c r="C265" t="s">
        <v>2</v>
      </c>
      <c r="D265">
        <v>0.121471</v>
      </c>
      <c r="E265" t="s">
        <v>2</v>
      </c>
      <c r="F265" t="s">
        <v>2</v>
      </c>
    </row>
    <row r="266" spans="1:6" x14ac:dyDescent="0.25">
      <c r="A266" t="s">
        <v>2</v>
      </c>
      <c r="B266" t="s">
        <v>2</v>
      </c>
      <c r="C266" t="s">
        <v>2</v>
      </c>
      <c r="D266" t="s">
        <v>2</v>
      </c>
      <c r="E266" t="s">
        <v>2</v>
      </c>
      <c r="F266" t="s">
        <v>2</v>
      </c>
    </row>
    <row r="267" spans="1:6" x14ac:dyDescent="0.25">
      <c r="A267" t="s">
        <v>114</v>
      </c>
      <c r="B267" t="s">
        <v>166</v>
      </c>
      <c r="C267" t="s">
        <v>115</v>
      </c>
      <c r="D267" t="s">
        <v>2</v>
      </c>
      <c r="E267" t="s">
        <v>2</v>
      </c>
      <c r="F267" t="s">
        <v>2</v>
      </c>
    </row>
    <row r="268" spans="1:6" x14ac:dyDescent="0.25">
      <c r="A268" t="s">
        <v>3</v>
      </c>
      <c r="B268" t="s">
        <v>4</v>
      </c>
      <c r="C268" t="s">
        <v>5</v>
      </c>
      <c r="D268" t="s">
        <v>6</v>
      </c>
      <c r="E268" t="s">
        <v>7</v>
      </c>
      <c r="F268" t="s">
        <v>8</v>
      </c>
    </row>
    <row r="269" spans="1:6" x14ac:dyDescent="0.25">
      <c r="A269" t="s">
        <v>9</v>
      </c>
      <c r="B269" t="s">
        <v>10</v>
      </c>
      <c r="C269">
        <v>108931.74</v>
      </c>
      <c r="D269">
        <v>2.6679999999999998E-3</v>
      </c>
      <c r="E269" t="s">
        <v>2</v>
      </c>
      <c r="F269" t="s">
        <v>2</v>
      </c>
    </row>
    <row r="270" spans="1:6" x14ac:dyDescent="0.25">
      <c r="A270" t="s">
        <v>11</v>
      </c>
      <c r="B270" s="1" t="s">
        <v>155</v>
      </c>
      <c r="C270">
        <v>108466.35</v>
      </c>
      <c r="D270">
        <v>2.6570000000000001E-3</v>
      </c>
      <c r="E270" t="s">
        <v>2</v>
      </c>
      <c r="F270" t="s">
        <v>2</v>
      </c>
    </row>
    <row r="271" spans="1:6" x14ac:dyDescent="0.25">
      <c r="A271" t="s">
        <v>13</v>
      </c>
      <c r="B271" t="s">
        <v>14</v>
      </c>
      <c r="C271">
        <v>465.39</v>
      </c>
      <c r="D271">
        <v>1.1E-5</v>
      </c>
      <c r="E271" t="s">
        <v>2</v>
      </c>
      <c r="F271" t="s">
        <v>2</v>
      </c>
    </row>
    <row r="272" spans="1:6" x14ac:dyDescent="0.25">
      <c r="A272" t="s">
        <v>15</v>
      </c>
      <c r="B272" t="s">
        <v>16</v>
      </c>
      <c r="C272">
        <v>8046520.2699999996</v>
      </c>
      <c r="D272">
        <v>0.197071</v>
      </c>
      <c r="E272" t="s">
        <v>2</v>
      </c>
      <c r="F272" t="s">
        <v>2</v>
      </c>
    </row>
    <row r="273" spans="1:6" x14ac:dyDescent="0.25">
      <c r="A273" t="s">
        <v>17</v>
      </c>
      <c r="B273" t="s">
        <v>18</v>
      </c>
      <c r="C273">
        <v>6582992.9400000004</v>
      </c>
      <c r="D273">
        <v>0.16122700000000001</v>
      </c>
      <c r="E273" t="s">
        <v>2</v>
      </c>
      <c r="F273" t="s">
        <v>2</v>
      </c>
    </row>
    <row r="274" spans="1:6" x14ac:dyDescent="0.25">
      <c r="A274" t="s">
        <v>19</v>
      </c>
      <c r="B274" t="s">
        <v>20</v>
      </c>
      <c r="C274">
        <v>1031748.85</v>
      </c>
      <c r="D274">
        <v>2.5269E-2</v>
      </c>
      <c r="E274" t="s">
        <v>2</v>
      </c>
      <c r="F274" t="s">
        <v>2</v>
      </c>
    </row>
    <row r="275" spans="1:6" x14ac:dyDescent="0.25">
      <c r="A275" t="s">
        <v>21</v>
      </c>
      <c r="B275" t="s">
        <v>22</v>
      </c>
      <c r="C275">
        <v>351.63</v>
      </c>
      <c r="D275">
        <v>9.0000000000000002E-6</v>
      </c>
      <c r="E275" t="s">
        <v>2</v>
      </c>
      <c r="F275" t="s">
        <v>2</v>
      </c>
    </row>
    <row r="276" spans="1:6" x14ac:dyDescent="0.25">
      <c r="A276" t="s">
        <v>23</v>
      </c>
      <c r="B276" t="s">
        <v>24</v>
      </c>
      <c r="C276">
        <v>8496319.9499999993</v>
      </c>
      <c r="D276">
        <v>0.208088</v>
      </c>
      <c r="E276">
        <v>-458243.17</v>
      </c>
      <c r="F276" t="s">
        <v>2</v>
      </c>
    </row>
    <row r="277" spans="1:6" x14ac:dyDescent="0.25">
      <c r="A277" t="s">
        <v>25</v>
      </c>
      <c r="B277" t="s">
        <v>26</v>
      </c>
      <c r="C277">
        <v>4102150.8</v>
      </c>
      <c r="D277">
        <v>0.100468</v>
      </c>
      <c r="E277">
        <v>-180199.05</v>
      </c>
      <c r="F277" t="s">
        <v>2</v>
      </c>
    </row>
    <row r="278" spans="1:6" x14ac:dyDescent="0.25">
      <c r="A278" t="s">
        <v>27</v>
      </c>
      <c r="B278" t="s">
        <v>28</v>
      </c>
      <c r="C278">
        <v>2058302</v>
      </c>
      <c r="D278">
        <v>5.0410999999999997E-2</v>
      </c>
      <c r="E278">
        <v>-51929.13</v>
      </c>
      <c r="F278" t="s">
        <v>2</v>
      </c>
    </row>
    <row r="279" spans="1:6" x14ac:dyDescent="0.25">
      <c r="A279" t="s">
        <v>29</v>
      </c>
      <c r="B279" t="s">
        <v>30</v>
      </c>
      <c r="C279">
        <v>69059.600000000006</v>
      </c>
      <c r="D279">
        <v>1.691E-3</v>
      </c>
      <c r="E279">
        <v>-6334.4</v>
      </c>
      <c r="F279" t="s">
        <v>2</v>
      </c>
    </row>
    <row r="280" spans="1:6" x14ac:dyDescent="0.25">
      <c r="A280" t="s">
        <v>69</v>
      </c>
      <c r="B280" t="s">
        <v>70</v>
      </c>
      <c r="C280">
        <v>2262831.5499999998</v>
      </c>
      <c r="D280">
        <v>5.5419999999999997E-2</v>
      </c>
      <c r="E280">
        <v>-219308.59</v>
      </c>
      <c r="F280" t="s">
        <v>2</v>
      </c>
    </row>
    <row r="281" spans="1:6" x14ac:dyDescent="0.25">
      <c r="A281" t="s">
        <v>92</v>
      </c>
      <c r="B281" t="s">
        <v>93</v>
      </c>
      <c r="C281">
        <v>3976</v>
      </c>
      <c r="D281">
        <v>9.7E-5</v>
      </c>
      <c r="E281">
        <v>-472</v>
      </c>
      <c r="F281" t="s">
        <v>2</v>
      </c>
    </row>
    <row r="282" spans="1:6" x14ac:dyDescent="0.25">
      <c r="A282" t="s">
        <v>71</v>
      </c>
      <c r="B282" t="s">
        <v>72</v>
      </c>
      <c r="C282">
        <v>17303539.57</v>
      </c>
      <c r="D282">
        <v>0.42379</v>
      </c>
      <c r="E282">
        <v>-99379.15</v>
      </c>
      <c r="F282" t="s">
        <v>2</v>
      </c>
    </row>
    <row r="283" spans="1:6" x14ac:dyDescent="0.25">
      <c r="A283" t="s">
        <v>84</v>
      </c>
      <c r="B283" t="s">
        <v>85</v>
      </c>
      <c r="C283">
        <v>605949.6</v>
      </c>
      <c r="D283">
        <v>1.4841E-2</v>
      </c>
      <c r="E283">
        <v>-22881.9</v>
      </c>
      <c r="F283" t="s">
        <v>2</v>
      </c>
    </row>
    <row r="284" spans="1:6" x14ac:dyDescent="0.25">
      <c r="A284" t="s">
        <v>73</v>
      </c>
      <c r="B284" t="s">
        <v>74</v>
      </c>
      <c r="C284">
        <v>16085452.07</v>
      </c>
      <c r="D284">
        <v>0.393957</v>
      </c>
      <c r="E284">
        <v>-1705.8</v>
      </c>
      <c r="F284" t="s">
        <v>2</v>
      </c>
    </row>
    <row r="285" spans="1:6" x14ac:dyDescent="0.25">
      <c r="A285" t="s">
        <v>112</v>
      </c>
      <c r="B285" t="s">
        <v>113</v>
      </c>
      <c r="C285">
        <v>612137.9</v>
      </c>
      <c r="D285">
        <v>1.4992E-2</v>
      </c>
      <c r="E285">
        <v>-74791.45</v>
      </c>
      <c r="F285" t="s">
        <v>2</v>
      </c>
    </row>
    <row r="286" spans="1:6" x14ac:dyDescent="0.25">
      <c r="A286" t="s">
        <v>86</v>
      </c>
      <c r="B286" t="s">
        <v>87</v>
      </c>
      <c r="C286">
        <v>28106.3</v>
      </c>
      <c r="D286">
        <v>6.8800000000000003E-4</v>
      </c>
      <c r="E286" t="s">
        <v>2</v>
      </c>
      <c r="F286" t="s">
        <v>2</v>
      </c>
    </row>
    <row r="287" spans="1:6" x14ac:dyDescent="0.25">
      <c r="A287" t="s">
        <v>100</v>
      </c>
      <c r="B287" t="s">
        <v>101</v>
      </c>
      <c r="C287">
        <v>28106.3</v>
      </c>
      <c r="D287">
        <v>6.8800000000000003E-4</v>
      </c>
      <c r="E287" t="s">
        <v>2</v>
      </c>
      <c r="F287" t="s">
        <v>2</v>
      </c>
    </row>
    <row r="288" spans="1:6" x14ac:dyDescent="0.25">
      <c r="A288" t="s">
        <v>31</v>
      </c>
      <c r="B288" t="s">
        <v>32</v>
      </c>
      <c r="C288">
        <v>55.55</v>
      </c>
      <c r="D288">
        <v>9.9999999999999995E-7</v>
      </c>
      <c r="E288" t="s">
        <v>2</v>
      </c>
      <c r="F288" t="s">
        <v>2</v>
      </c>
    </row>
    <row r="289" spans="1:6" x14ac:dyDescent="0.25">
      <c r="A289" t="s">
        <v>33</v>
      </c>
      <c r="B289" t="s">
        <v>34</v>
      </c>
      <c r="C289">
        <v>55.55</v>
      </c>
      <c r="D289">
        <v>9.9999999999999995E-7</v>
      </c>
      <c r="E289" t="s">
        <v>2</v>
      </c>
      <c r="F289" t="s">
        <v>2</v>
      </c>
    </row>
    <row r="290" spans="1:6" x14ac:dyDescent="0.25">
      <c r="A290" t="s">
        <v>35</v>
      </c>
      <c r="B290" t="s">
        <v>36</v>
      </c>
      <c r="C290">
        <v>951649.71</v>
      </c>
      <c r="D290">
        <v>2.3307000000000001E-2</v>
      </c>
      <c r="E290">
        <v>951649.71</v>
      </c>
      <c r="F290" t="s">
        <v>2</v>
      </c>
    </row>
    <row r="291" spans="1:6" x14ac:dyDescent="0.25">
      <c r="A291" t="s">
        <v>37</v>
      </c>
      <c r="B291" t="s">
        <v>38</v>
      </c>
      <c r="C291">
        <v>490300</v>
      </c>
      <c r="D291">
        <v>1.2008E-2</v>
      </c>
      <c r="E291">
        <v>490300</v>
      </c>
      <c r="F291" t="s">
        <v>2</v>
      </c>
    </row>
    <row r="292" spans="1:6" x14ac:dyDescent="0.25">
      <c r="A292" t="s">
        <v>39</v>
      </c>
      <c r="B292" t="s">
        <v>40</v>
      </c>
      <c r="C292">
        <v>41990700</v>
      </c>
      <c r="D292">
        <v>1.028416</v>
      </c>
      <c r="E292">
        <v>490300</v>
      </c>
      <c r="F292" t="s">
        <v>2</v>
      </c>
    </row>
    <row r="293" spans="1:6" x14ac:dyDescent="0.25">
      <c r="A293" t="s">
        <v>41</v>
      </c>
      <c r="B293" t="s">
        <v>42</v>
      </c>
      <c r="C293">
        <v>-530348.56000000006</v>
      </c>
      <c r="D293">
        <v>-1.2989000000000001E-2</v>
      </c>
      <c r="E293">
        <v>-530348.56000000006</v>
      </c>
      <c r="F293" t="s">
        <v>2</v>
      </c>
    </row>
    <row r="294" spans="1:6" x14ac:dyDescent="0.25">
      <c r="A294" t="s">
        <v>43</v>
      </c>
      <c r="B294" t="s">
        <v>44</v>
      </c>
      <c r="C294">
        <v>21112620</v>
      </c>
      <c r="D294">
        <v>0.51707999999999998</v>
      </c>
      <c r="E294">
        <v>-530348.56000000006</v>
      </c>
      <c r="F294" t="s">
        <v>2</v>
      </c>
    </row>
    <row r="295" spans="1:6" x14ac:dyDescent="0.25">
      <c r="A295" t="s">
        <v>94</v>
      </c>
      <c r="B295" t="s">
        <v>95</v>
      </c>
      <c r="C295">
        <v>92270</v>
      </c>
      <c r="D295">
        <v>2.2599999999999999E-3</v>
      </c>
      <c r="E295">
        <v>92270</v>
      </c>
      <c r="F295" t="s">
        <v>2</v>
      </c>
    </row>
    <row r="296" spans="1:6" x14ac:dyDescent="0.25">
      <c r="A296" t="s">
        <v>96</v>
      </c>
      <c r="B296" t="s">
        <v>97</v>
      </c>
      <c r="C296">
        <v>-4128920</v>
      </c>
      <c r="D296">
        <v>-0.101123</v>
      </c>
      <c r="E296">
        <v>92270</v>
      </c>
      <c r="F296" t="s">
        <v>2</v>
      </c>
    </row>
    <row r="297" spans="1:6" x14ac:dyDescent="0.25">
      <c r="A297" t="s">
        <v>45</v>
      </c>
      <c r="B297" t="s">
        <v>46</v>
      </c>
      <c r="C297">
        <v>-40900</v>
      </c>
      <c r="D297">
        <v>-1.0020000000000001E-3</v>
      </c>
      <c r="E297">
        <v>-40900</v>
      </c>
      <c r="F297" t="s">
        <v>2</v>
      </c>
    </row>
    <row r="298" spans="1:6" x14ac:dyDescent="0.25">
      <c r="A298" t="s">
        <v>47</v>
      </c>
      <c r="B298" t="s">
        <v>48</v>
      </c>
      <c r="C298">
        <v>3037800</v>
      </c>
      <c r="D298">
        <v>7.4399999999999994E-2</v>
      </c>
      <c r="E298">
        <v>-40900</v>
      </c>
      <c r="F298" t="s">
        <v>2</v>
      </c>
    </row>
    <row r="299" spans="1:6" x14ac:dyDescent="0.25">
      <c r="A299" t="s">
        <v>102</v>
      </c>
      <c r="B299" t="s">
        <v>103</v>
      </c>
      <c r="C299">
        <v>84230</v>
      </c>
      <c r="D299">
        <v>2.0630000000000002E-3</v>
      </c>
      <c r="E299">
        <v>84230</v>
      </c>
      <c r="F299" t="s">
        <v>2</v>
      </c>
    </row>
    <row r="300" spans="1:6" x14ac:dyDescent="0.25">
      <c r="A300" t="s">
        <v>104</v>
      </c>
      <c r="B300" t="s">
        <v>105</v>
      </c>
      <c r="C300">
        <v>-1232255</v>
      </c>
      <c r="D300">
        <v>-3.0179999999999998E-2</v>
      </c>
      <c r="E300">
        <v>84230</v>
      </c>
      <c r="F300" t="s">
        <v>2</v>
      </c>
    </row>
    <row r="301" spans="1:6" x14ac:dyDescent="0.25">
      <c r="A301" t="s">
        <v>49</v>
      </c>
      <c r="B301" t="s">
        <v>50</v>
      </c>
      <c r="C301">
        <v>-199120</v>
      </c>
      <c r="D301">
        <v>-4.8770000000000003E-3</v>
      </c>
      <c r="E301">
        <v>-199120</v>
      </c>
      <c r="F301" t="s">
        <v>2</v>
      </c>
    </row>
    <row r="302" spans="1:6" x14ac:dyDescent="0.25">
      <c r="A302" t="s">
        <v>51</v>
      </c>
      <c r="B302" t="s">
        <v>52</v>
      </c>
      <c r="C302">
        <v>5347380</v>
      </c>
      <c r="D302">
        <v>0.130965</v>
      </c>
      <c r="E302">
        <v>-199120</v>
      </c>
      <c r="F302" t="s">
        <v>2</v>
      </c>
    </row>
    <row r="303" spans="1:6" x14ac:dyDescent="0.25">
      <c r="A303" t="s">
        <v>53</v>
      </c>
      <c r="B303" t="s">
        <v>54</v>
      </c>
      <c r="C303">
        <v>360245</v>
      </c>
      <c r="D303">
        <v>8.8229999999999992E-3</v>
      </c>
      <c r="E303">
        <v>360245</v>
      </c>
      <c r="F303" t="s">
        <v>2</v>
      </c>
    </row>
    <row r="304" spans="1:6" x14ac:dyDescent="0.25">
      <c r="A304" t="s">
        <v>55</v>
      </c>
      <c r="B304" t="s">
        <v>56</v>
      </c>
      <c r="C304">
        <v>-3967350</v>
      </c>
      <c r="D304">
        <v>-9.7166000000000002E-2</v>
      </c>
      <c r="E304">
        <v>360245</v>
      </c>
      <c r="F304" t="s">
        <v>2</v>
      </c>
    </row>
    <row r="305" spans="1:6" x14ac:dyDescent="0.25">
      <c r="A305" t="s">
        <v>75</v>
      </c>
      <c r="B305" t="s">
        <v>76</v>
      </c>
      <c r="C305">
        <v>369500</v>
      </c>
      <c r="D305">
        <v>9.0500000000000008E-3</v>
      </c>
      <c r="E305">
        <v>369500</v>
      </c>
      <c r="F305" t="s">
        <v>2</v>
      </c>
    </row>
    <row r="306" spans="1:6" x14ac:dyDescent="0.25">
      <c r="A306" t="s">
        <v>77</v>
      </c>
      <c r="B306" t="s">
        <v>78</v>
      </c>
      <c r="C306">
        <v>-2275900</v>
      </c>
      <c r="D306">
        <v>-5.5739999999999998E-2</v>
      </c>
      <c r="E306">
        <v>369500</v>
      </c>
      <c r="F306" t="s">
        <v>2</v>
      </c>
    </row>
    <row r="307" spans="1:6" x14ac:dyDescent="0.25">
      <c r="A307" t="s">
        <v>106</v>
      </c>
      <c r="B307" t="s">
        <v>107</v>
      </c>
      <c r="C307">
        <v>325473.27</v>
      </c>
      <c r="D307">
        <v>7.9710000000000007E-3</v>
      </c>
      <c r="E307">
        <v>325473.27</v>
      </c>
      <c r="F307" t="s">
        <v>2</v>
      </c>
    </row>
    <row r="308" spans="1:6" x14ac:dyDescent="0.25">
      <c r="A308" t="s">
        <v>108</v>
      </c>
      <c r="B308" t="s">
        <v>109</v>
      </c>
      <c r="C308">
        <v>325473.27</v>
      </c>
      <c r="D308">
        <v>7.9710000000000007E-3</v>
      </c>
      <c r="E308">
        <v>325473.27</v>
      </c>
      <c r="F308" t="s">
        <v>2</v>
      </c>
    </row>
    <row r="309" spans="1:6" x14ac:dyDescent="0.25">
      <c r="A309" t="s">
        <v>79</v>
      </c>
      <c r="B309" t="s">
        <v>2</v>
      </c>
      <c r="C309" t="s">
        <v>2</v>
      </c>
      <c r="D309">
        <v>0.42379</v>
      </c>
      <c r="E309" t="s">
        <v>2</v>
      </c>
      <c r="F309" t="s">
        <v>2</v>
      </c>
    </row>
    <row r="310" spans="1:6" x14ac:dyDescent="0.25">
      <c r="A310" t="s">
        <v>61</v>
      </c>
      <c r="B310" t="s">
        <v>2</v>
      </c>
      <c r="C310" t="s">
        <v>2</v>
      </c>
      <c r="D310">
        <v>0.208088</v>
      </c>
      <c r="E310" t="s">
        <v>2</v>
      </c>
      <c r="F310" t="s">
        <v>2</v>
      </c>
    </row>
    <row r="311" spans="1:6" x14ac:dyDescent="0.25">
      <c r="A311" t="s">
        <v>62</v>
      </c>
      <c r="B311" t="s">
        <v>2</v>
      </c>
      <c r="C311" t="s">
        <v>2</v>
      </c>
      <c r="D311">
        <v>1.4666509999999999</v>
      </c>
      <c r="E311" t="s">
        <v>2</v>
      </c>
      <c r="F311" t="s">
        <v>2</v>
      </c>
    </row>
    <row r="312" spans="1:6" x14ac:dyDescent="0.25">
      <c r="A312" t="s">
        <v>80</v>
      </c>
      <c r="B312" t="s">
        <v>2</v>
      </c>
      <c r="C312" t="s">
        <v>2</v>
      </c>
      <c r="D312">
        <v>0.42379</v>
      </c>
      <c r="E312" t="s">
        <v>2</v>
      </c>
      <c r="F312" t="s">
        <v>2</v>
      </c>
    </row>
    <row r="313" spans="1:6" x14ac:dyDescent="0.25">
      <c r="A313" t="s">
        <v>63</v>
      </c>
      <c r="B313" t="s">
        <v>2</v>
      </c>
      <c r="C313" t="s">
        <v>2</v>
      </c>
      <c r="D313">
        <v>0.208088</v>
      </c>
      <c r="E313" t="s">
        <v>2</v>
      </c>
      <c r="F313" t="s">
        <v>2</v>
      </c>
    </row>
    <row r="314" spans="1:6" x14ac:dyDescent="0.25">
      <c r="A314" t="s">
        <v>64</v>
      </c>
      <c r="B314" t="s">
        <v>2</v>
      </c>
      <c r="C314" t="s">
        <v>2</v>
      </c>
      <c r="D314">
        <v>0.100565</v>
      </c>
      <c r="E314" t="s">
        <v>2</v>
      </c>
      <c r="F314" t="s">
        <v>2</v>
      </c>
    </row>
    <row r="315" spans="1:6" x14ac:dyDescent="0.25">
      <c r="A315" t="s">
        <v>65</v>
      </c>
      <c r="B315" t="s">
        <v>2</v>
      </c>
      <c r="C315" t="s">
        <v>2</v>
      </c>
      <c r="D315">
        <v>5.2102000000000002E-2</v>
      </c>
      <c r="E315" t="s">
        <v>2</v>
      </c>
      <c r="F315" t="s">
        <v>2</v>
      </c>
    </row>
    <row r="316" spans="1:6" x14ac:dyDescent="0.25">
      <c r="A316" t="s">
        <v>66</v>
      </c>
      <c r="B316" t="s">
        <v>2</v>
      </c>
      <c r="C316" t="s">
        <v>2</v>
      </c>
      <c r="D316">
        <v>1.691E-3</v>
      </c>
      <c r="E316" t="s">
        <v>2</v>
      </c>
      <c r="F316" t="s">
        <v>2</v>
      </c>
    </row>
    <row r="317" spans="1:6" x14ac:dyDescent="0.25">
      <c r="A317" t="s">
        <v>81</v>
      </c>
      <c r="B317" t="s">
        <v>2</v>
      </c>
      <c r="C317" t="s">
        <v>2</v>
      </c>
      <c r="D317">
        <v>0.12853300000000001</v>
      </c>
      <c r="E317" t="s">
        <v>2</v>
      </c>
      <c r="F317" t="s">
        <v>2</v>
      </c>
    </row>
    <row r="318" spans="1:6" x14ac:dyDescent="0.25">
      <c r="A318" t="s">
        <v>2</v>
      </c>
      <c r="B318" t="s">
        <v>2</v>
      </c>
      <c r="C318" t="s">
        <v>2</v>
      </c>
      <c r="D318" t="s">
        <v>2</v>
      </c>
      <c r="E318" t="s">
        <v>2</v>
      </c>
      <c r="F318" t="s">
        <v>2</v>
      </c>
    </row>
    <row r="319" spans="1:6" x14ac:dyDescent="0.25">
      <c r="A319" t="s">
        <v>116</v>
      </c>
      <c r="B319" t="s">
        <v>167</v>
      </c>
      <c r="C319" t="s">
        <v>117</v>
      </c>
      <c r="D319" t="s">
        <v>2</v>
      </c>
      <c r="E319" t="s">
        <v>2</v>
      </c>
      <c r="F319" t="s">
        <v>2</v>
      </c>
    </row>
    <row r="320" spans="1:6" x14ac:dyDescent="0.25">
      <c r="A320" t="s">
        <v>3</v>
      </c>
      <c r="B320" t="s">
        <v>4</v>
      </c>
      <c r="C320" t="s">
        <v>5</v>
      </c>
      <c r="D320" t="s">
        <v>6</v>
      </c>
      <c r="E320" t="s">
        <v>7</v>
      </c>
      <c r="F320" t="s">
        <v>8</v>
      </c>
    </row>
    <row r="321" spans="1:6" x14ac:dyDescent="0.25">
      <c r="A321" t="s">
        <v>9</v>
      </c>
      <c r="B321" t="s">
        <v>10</v>
      </c>
      <c r="C321">
        <v>108963.24</v>
      </c>
      <c r="D321">
        <v>2.6280000000000001E-3</v>
      </c>
      <c r="E321" t="s">
        <v>2</v>
      </c>
      <c r="F321" t="s">
        <v>2</v>
      </c>
    </row>
    <row r="322" spans="1:6" x14ac:dyDescent="0.25">
      <c r="A322" t="s">
        <v>11</v>
      </c>
      <c r="B322" t="s">
        <v>12</v>
      </c>
      <c r="C322">
        <v>108466.35</v>
      </c>
      <c r="D322">
        <v>2.6159999999999998E-3</v>
      </c>
      <c r="E322" t="s">
        <v>2</v>
      </c>
      <c r="F322" t="s">
        <v>2</v>
      </c>
    </row>
    <row r="323" spans="1:6" x14ac:dyDescent="0.25">
      <c r="A323" t="s">
        <v>13</v>
      </c>
      <c r="B323" t="s">
        <v>14</v>
      </c>
      <c r="C323">
        <v>496.89</v>
      </c>
      <c r="D323">
        <v>1.2E-5</v>
      </c>
      <c r="E323" t="s">
        <v>2</v>
      </c>
      <c r="F323" t="s">
        <v>2</v>
      </c>
    </row>
    <row r="324" spans="1:6" x14ac:dyDescent="0.25">
      <c r="A324" t="s">
        <v>15</v>
      </c>
      <c r="B324" t="s">
        <v>16</v>
      </c>
      <c r="C324">
        <v>7694986.6500000004</v>
      </c>
      <c r="D324">
        <v>0.185613</v>
      </c>
      <c r="E324" t="s">
        <v>2</v>
      </c>
      <c r="F324" t="s">
        <v>2</v>
      </c>
    </row>
    <row r="325" spans="1:6" x14ac:dyDescent="0.25">
      <c r="A325" t="s">
        <v>17</v>
      </c>
      <c r="B325" t="s">
        <v>18</v>
      </c>
      <c r="C325">
        <v>10128497.529999999</v>
      </c>
      <c r="D325">
        <v>0.244313</v>
      </c>
      <c r="E325" t="s">
        <v>2</v>
      </c>
      <c r="F325" t="s">
        <v>2</v>
      </c>
    </row>
    <row r="326" spans="1:6" x14ac:dyDescent="0.25">
      <c r="A326" t="s">
        <v>19</v>
      </c>
      <c r="B326" t="s">
        <v>20</v>
      </c>
      <c r="C326">
        <v>1703884.35</v>
      </c>
      <c r="D326">
        <v>4.1099999999999998E-2</v>
      </c>
      <c r="E326" t="s">
        <v>2</v>
      </c>
      <c r="F326" t="s">
        <v>2</v>
      </c>
    </row>
    <row r="327" spans="1:6" x14ac:dyDescent="0.25">
      <c r="A327" t="s">
        <v>21</v>
      </c>
      <c r="B327" t="s">
        <v>22</v>
      </c>
      <c r="C327">
        <v>600.45000000000005</v>
      </c>
      <c r="D327">
        <v>1.4E-5</v>
      </c>
      <c r="E327" t="s">
        <v>2</v>
      </c>
      <c r="F327" t="s">
        <v>2</v>
      </c>
    </row>
    <row r="328" spans="1:6" x14ac:dyDescent="0.25">
      <c r="A328" t="s">
        <v>23</v>
      </c>
      <c r="B328" t="s">
        <v>24</v>
      </c>
      <c r="C328">
        <v>8287074.3700000001</v>
      </c>
      <c r="D328">
        <v>0.19989499999999999</v>
      </c>
      <c r="E328">
        <v>-647029.81999999995</v>
      </c>
      <c r="F328" t="s">
        <v>2</v>
      </c>
    </row>
    <row r="329" spans="1:6" x14ac:dyDescent="0.25">
      <c r="A329" t="s">
        <v>25</v>
      </c>
      <c r="B329" t="s">
        <v>26</v>
      </c>
      <c r="C329">
        <v>3692734.2</v>
      </c>
      <c r="D329">
        <v>8.9074E-2</v>
      </c>
      <c r="E329">
        <v>-338689.92</v>
      </c>
      <c r="F329" t="s">
        <v>2</v>
      </c>
    </row>
    <row r="330" spans="1:6" x14ac:dyDescent="0.25">
      <c r="A330" t="s">
        <v>27</v>
      </c>
      <c r="B330" t="s">
        <v>28</v>
      </c>
      <c r="C330">
        <v>1416064</v>
      </c>
      <c r="D330">
        <v>3.4157E-2</v>
      </c>
      <c r="E330">
        <v>-106508.17</v>
      </c>
      <c r="F330" t="s">
        <v>2</v>
      </c>
    </row>
    <row r="331" spans="1:6" x14ac:dyDescent="0.25">
      <c r="A331" t="s">
        <v>29</v>
      </c>
      <c r="B331" t="s">
        <v>30</v>
      </c>
      <c r="C331">
        <v>942501</v>
      </c>
      <c r="D331">
        <v>2.2734000000000001E-2</v>
      </c>
      <c r="E331">
        <v>-36613</v>
      </c>
      <c r="F331" t="s">
        <v>2</v>
      </c>
    </row>
    <row r="332" spans="1:6" x14ac:dyDescent="0.25">
      <c r="A332" t="s">
        <v>69</v>
      </c>
      <c r="B332" t="s">
        <v>70</v>
      </c>
      <c r="C332">
        <v>2055519.17</v>
      </c>
      <c r="D332">
        <v>4.9582000000000001E-2</v>
      </c>
      <c r="E332">
        <v>-145263.04000000001</v>
      </c>
      <c r="F332" t="s">
        <v>2</v>
      </c>
    </row>
    <row r="333" spans="1:6" x14ac:dyDescent="0.25">
      <c r="A333" t="s">
        <v>92</v>
      </c>
      <c r="B333" t="s">
        <v>93</v>
      </c>
      <c r="C333">
        <v>180256</v>
      </c>
      <c r="D333">
        <v>4.3480000000000003E-3</v>
      </c>
      <c r="E333">
        <v>-19955.689999999999</v>
      </c>
      <c r="F333" t="s">
        <v>2</v>
      </c>
    </row>
    <row r="334" spans="1:6" x14ac:dyDescent="0.25">
      <c r="A334" t="s">
        <v>71</v>
      </c>
      <c r="B334" t="s">
        <v>72</v>
      </c>
      <c r="C334">
        <v>15511927.41</v>
      </c>
      <c r="D334">
        <v>0.374168</v>
      </c>
      <c r="E334">
        <v>-121100.84</v>
      </c>
      <c r="F334" t="s">
        <v>2</v>
      </c>
    </row>
    <row r="335" spans="1:6" x14ac:dyDescent="0.25">
      <c r="A335" t="s">
        <v>84</v>
      </c>
      <c r="B335" t="s">
        <v>85</v>
      </c>
      <c r="C335">
        <v>796963.6</v>
      </c>
      <c r="D335">
        <v>1.9224000000000002E-2</v>
      </c>
      <c r="E335">
        <v>-44740.4</v>
      </c>
      <c r="F335" t="s">
        <v>2</v>
      </c>
    </row>
    <row r="336" spans="1:6" x14ac:dyDescent="0.25">
      <c r="A336" t="s">
        <v>73</v>
      </c>
      <c r="B336" t="s">
        <v>74</v>
      </c>
      <c r="C336">
        <v>14102825.91</v>
      </c>
      <c r="D336">
        <v>0.34017799999999998</v>
      </c>
      <c r="E336">
        <v>-1568.99</v>
      </c>
      <c r="F336" t="s">
        <v>2</v>
      </c>
    </row>
    <row r="337" spans="1:6" x14ac:dyDescent="0.25">
      <c r="A337" t="s">
        <v>112</v>
      </c>
      <c r="B337" t="s">
        <v>113</v>
      </c>
      <c r="C337">
        <v>612137.9</v>
      </c>
      <c r="D337">
        <v>1.4766E-2</v>
      </c>
      <c r="E337">
        <v>-74791.45</v>
      </c>
      <c r="F337" t="s">
        <v>2</v>
      </c>
    </row>
    <row r="338" spans="1:6" x14ac:dyDescent="0.25">
      <c r="A338" t="s">
        <v>86</v>
      </c>
      <c r="B338" t="s">
        <v>87</v>
      </c>
      <c r="C338">
        <v>18068.3</v>
      </c>
      <c r="D338">
        <v>4.3600000000000003E-4</v>
      </c>
      <c r="E338" t="s">
        <v>2</v>
      </c>
      <c r="F338" t="s">
        <v>2</v>
      </c>
    </row>
    <row r="339" spans="1:6" x14ac:dyDescent="0.25">
      <c r="A339" t="s">
        <v>100</v>
      </c>
      <c r="B339" t="s">
        <v>101</v>
      </c>
      <c r="C339">
        <v>18068.3</v>
      </c>
      <c r="D339">
        <v>4.3600000000000003E-4</v>
      </c>
      <c r="E339" t="s">
        <v>2</v>
      </c>
      <c r="F339" t="s">
        <v>2</v>
      </c>
    </row>
    <row r="340" spans="1:6" x14ac:dyDescent="0.25">
      <c r="A340" t="s">
        <v>31</v>
      </c>
      <c r="B340" t="s">
        <v>32</v>
      </c>
      <c r="C340">
        <v>55.55</v>
      </c>
      <c r="D340">
        <v>9.9999999999999995E-7</v>
      </c>
      <c r="E340" t="s">
        <v>2</v>
      </c>
      <c r="F340" t="s">
        <v>2</v>
      </c>
    </row>
    <row r="341" spans="1:6" x14ac:dyDescent="0.25">
      <c r="A341" t="s">
        <v>33</v>
      </c>
      <c r="B341" t="s">
        <v>34</v>
      </c>
      <c r="C341">
        <v>55.55</v>
      </c>
      <c r="D341">
        <v>9.9999999999999995E-7</v>
      </c>
      <c r="E341" t="s">
        <v>2</v>
      </c>
      <c r="F341" t="s">
        <v>2</v>
      </c>
    </row>
    <row r="342" spans="1:6" x14ac:dyDescent="0.25">
      <c r="A342" t="s">
        <v>35</v>
      </c>
      <c r="B342" t="s">
        <v>36</v>
      </c>
      <c r="C342">
        <v>139338.1</v>
      </c>
      <c r="D342">
        <v>3.3609999999999998E-3</v>
      </c>
      <c r="E342">
        <v>139338.1</v>
      </c>
      <c r="F342" t="s">
        <v>2</v>
      </c>
    </row>
    <row r="343" spans="1:6" x14ac:dyDescent="0.25">
      <c r="A343" t="s">
        <v>37</v>
      </c>
      <c r="B343" t="s">
        <v>38</v>
      </c>
      <c r="C343">
        <v>13150</v>
      </c>
      <c r="D343">
        <v>3.1700000000000001E-4</v>
      </c>
      <c r="E343">
        <v>13150</v>
      </c>
      <c r="F343" t="s">
        <v>2</v>
      </c>
    </row>
    <row r="344" spans="1:6" x14ac:dyDescent="0.25">
      <c r="A344" t="s">
        <v>39</v>
      </c>
      <c r="B344" t="s">
        <v>40</v>
      </c>
      <c r="C344">
        <v>41921150</v>
      </c>
      <c r="D344">
        <v>1.011193</v>
      </c>
      <c r="E344">
        <v>13150</v>
      </c>
      <c r="F344" t="s">
        <v>2</v>
      </c>
    </row>
    <row r="345" spans="1:6" x14ac:dyDescent="0.25">
      <c r="A345" t="s">
        <v>41</v>
      </c>
      <c r="B345" t="s">
        <v>42</v>
      </c>
      <c r="C345">
        <v>179072.65</v>
      </c>
      <c r="D345">
        <v>4.3189999999999999E-3</v>
      </c>
      <c r="E345">
        <v>179072.65</v>
      </c>
      <c r="F345" t="s">
        <v>2</v>
      </c>
    </row>
    <row r="346" spans="1:6" x14ac:dyDescent="0.25">
      <c r="A346" t="s">
        <v>43</v>
      </c>
      <c r="B346" t="s">
        <v>44</v>
      </c>
      <c r="C346">
        <v>25034280</v>
      </c>
      <c r="D346">
        <v>0.60385900000000003</v>
      </c>
      <c r="E346">
        <v>179072.65</v>
      </c>
      <c r="F346" t="s">
        <v>2</v>
      </c>
    </row>
    <row r="347" spans="1:6" x14ac:dyDescent="0.25">
      <c r="A347" t="s">
        <v>94</v>
      </c>
      <c r="B347" t="s">
        <v>95</v>
      </c>
      <c r="C347">
        <v>-17970</v>
      </c>
      <c r="D347">
        <v>-4.3300000000000001E-4</v>
      </c>
      <c r="E347">
        <v>-17970</v>
      </c>
      <c r="F347" t="s">
        <v>2</v>
      </c>
    </row>
    <row r="348" spans="1:6" x14ac:dyDescent="0.25">
      <c r="A348" t="s">
        <v>96</v>
      </c>
      <c r="B348" t="s">
        <v>97</v>
      </c>
      <c r="C348">
        <v>-6723840</v>
      </c>
      <c r="D348">
        <v>-0.162188</v>
      </c>
      <c r="E348">
        <v>-17970</v>
      </c>
      <c r="F348" t="s">
        <v>2</v>
      </c>
    </row>
    <row r="349" spans="1:6" x14ac:dyDescent="0.25">
      <c r="A349" t="s">
        <v>45</v>
      </c>
      <c r="B349" t="s">
        <v>46</v>
      </c>
      <c r="C349">
        <v>-35352.160000000003</v>
      </c>
      <c r="D349">
        <v>-8.5300000000000003E-4</v>
      </c>
      <c r="E349">
        <v>-35352.160000000003</v>
      </c>
      <c r="F349" t="s">
        <v>2</v>
      </c>
    </row>
    <row r="350" spans="1:6" x14ac:dyDescent="0.25">
      <c r="A350" t="s">
        <v>47</v>
      </c>
      <c r="B350" t="s">
        <v>48</v>
      </c>
      <c r="C350">
        <v>6168020</v>
      </c>
      <c r="D350">
        <v>0.148781</v>
      </c>
      <c r="E350">
        <v>-35352.160000000003</v>
      </c>
      <c r="F350" t="s">
        <v>2</v>
      </c>
    </row>
    <row r="351" spans="1:6" x14ac:dyDescent="0.25">
      <c r="A351" t="s">
        <v>102</v>
      </c>
      <c r="B351" t="s">
        <v>103</v>
      </c>
      <c r="C351">
        <v>174819.71</v>
      </c>
      <c r="D351">
        <v>4.2170000000000003E-3</v>
      </c>
      <c r="E351">
        <v>174819.71</v>
      </c>
      <c r="F351" t="s">
        <v>2</v>
      </c>
    </row>
    <row r="352" spans="1:6" x14ac:dyDescent="0.25">
      <c r="A352" t="s">
        <v>104</v>
      </c>
      <c r="B352" t="s">
        <v>105</v>
      </c>
      <c r="C352">
        <v>-7394035</v>
      </c>
      <c r="D352">
        <v>-0.17835400000000001</v>
      </c>
      <c r="E352">
        <v>174819.71</v>
      </c>
      <c r="F352" t="s">
        <v>2</v>
      </c>
    </row>
    <row r="353" spans="1:10" x14ac:dyDescent="0.25">
      <c r="A353" t="s">
        <v>49</v>
      </c>
      <c r="B353" t="s">
        <v>50</v>
      </c>
      <c r="C353">
        <v>210235</v>
      </c>
      <c r="D353">
        <v>5.071E-3</v>
      </c>
      <c r="E353">
        <v>210235</v>
      </c>
      <c r="F353" t="s">
        <v>2</v>
      </c>
    </row>
    <row r="354" spans="1:10" x14ac:dyDescent="0.25">
      <c r="A354" t="s">
        <v>51</v>
      </c>
      <c r="B354" t="s">
        <v>52</v>
      </c>
      <c r="C354">
        <v>8667720</v>
      </c>
      <c r="D354">
        <v>0.20907700000000001</v>
      </c>
      <c r="E354">
        <v>210235</v>
      </c>
      <c r="F354" t="s">
        <v>2</v>
      </c>
    </row>
    <row r="355" spans="1:10" x14ac:dyDescent="0.25">
      <c r="A355" t="s">
        <v>53</v>
      </c>
      <c r="B355" t="s">
        <v>54</v>
      </c>
      <c r="C355">
        <v>-208772.57</v>
      </c>
      <c r="D355">
        <v>-5.0359999999999997E-3</v>
      </c>
      <c r="E355">
        <v>-208772.57</v>
      </c>
      <c r="F355" t="s">
        <v>2</v>
      </c>
    </row>
    <row r="356" spans="1:10" x14ac:dyDescent="0.25">
      <c r="A356" t="s">
        <v>55</v>
      </c>
      <c r="B356" t="s">
        <v>56</v>
      </c>
      <c r="C356">
        <v>-14052720</v>
      </c>
      <c r="D356">
        <v>-0.33896999999999999</v>
      </c>
      <c r="E356">
        <v>-208772.57</v>
      </c>
      <c r="F356" t="s">
        <v>2</v>
      </c>
      <c r="J356" t="s">
        <v>118</v>
      </c>
    </row>
    <row r="357" spans="1:10" x14ac:dyDescent="0.25">
      <c r="A357" t="s">
        <v>75</v>
      </c>
      <c r="B357" t="s">
        <v>76</v>
      </c>
      <c r="C357">
        <v>-24975</v>
      </c>
      <c r="D357">
        <v>-6.02E-4</v>
      </c>
      <c r="E357">
        <v>-24975</v>
      </c>
      <c r="F357" t="s">
        <v>2</v>
      </c>
    </row>
    <row r="358" spans="1:10" x14ac:dyDescent="0.25">
      <c r="A358" t="s">
        <v>77</v>
      </c>
      <c r="B358" t="s">
        <v>78</v>
      </c>
      <c r="C358">
        <v>-1690475</v>
      </c>
      <c r="D358">
        <v>-4.0776E-2</v>
      </c>
      <c r="E358">
        <v>-24975</v>
      </c>
      <c r="F358" t="s">
        <v>2</v>
      </c>
    </row>
    <row r="359" spans="1:10" x14ac:dyDescent="0.25">
      <c r="A359" t="s">
        <v>106</v>
      </c>
      <c r="B359" t="s">
        <v>107</v>
      </c>
      <c r="C359">
        <v>-150869.53</v>
      </c>
      <c r="D359">
        <v>-3.6389999999999999E-3</v>
      </c>
      <c r="E359">
        <v>-150869.53</v>
      </c>
      <c r="F359" t="s">
        <v>2</v>
      </c>
    </row>
    <row r="360" spans="1:10" x14ac:dyDescent="0.25">
      <c r="A360" t="s">
        <v>108</v>
      </c>
      <c r="B360" t="s">
        <v>109</v>
      </c>
      <c r="C360">
        <v>-150869.53</v>
      </c>
      <c r="D360">
        <v>-3.6389999999999999E-3</v>
      </c>
      <c r="E360">
        <v>-150869.53</v>
      </c>
      <c r="F360" t="s">
        <v>2</v>
      </c>
    </row>
    <row r="361" spans="1:10" x14ac:dyDescent="0.25">
      <c r="A361" t="s">
        <v>79</v>
      </c>
      <c r="B361" t="s">
        <v>2</v>
      </c>
      <c r="C361" t="s">
        <v>2</v>
      </c>
      <c r="D361">
        <v>0.374168</v>
      </c>
      <c r="E361" t="s">
        <v>2</v>
      </c>
      <c r="F361" t="s">
        <v>2</v>
      </c>
    </row>
    <row r="362" spans="1:10" x14ac:dyDescent="0.25">
      <c r="A362" t="s">
        <v>61</v>
      </c>
      <c r="B362" t="s">
        <v>2</v>
      </c>
      <c r="C362" t="s">
        <v>2</v>
      </c>
      <c r="D362">
        <v>0.19989499999999999</v>
      </c>
      <c r="E362" t="s">
        <v>2</v>
      </c>
      <c r="F362" t="s">
        <v>2</v>
      </c>
    </row>
    <row r="363" spans="1:10" x14ac:dyDescent="0.25">
      <c r="A363" t="s">
        <v>62</v>
      </c>
      <c r="B363" t="s">
        <v>2</v>
      </c>
      <c r="C363" t="s">
        <v>2</v>
      </c>
      <c r="D363">
        <v>1.252621</v>
      </c>
      <c r="E363" t="s">
        <v>2</v>
      </c>
      <c r="F363" t="s">
        <v>2</v>
      </c>
    </row>
    <row r="364" spans="1:10" x14ac:dyDescent="0.25">
      <c r="A364" t="s">
        <v>80</v>
      </c>
      <c r="B364" t="s">
        <v>2</v>
      </c>
      <c r="C364" t="s">
        <v>2</v>
      </c>
      <c r="D364">
        <v>0.374168</v>
      </c>
      <c r="E364" t="s">
        <v>2</v>
      </c>
      <c r="F364" t="s">
        <v>2</v>
      </c>
    </row>
    <row r="365" spans="1:10" x14ac:dyDescent="0.25">
      <c r="A365" t="s">
        <v>63</v>
      </c>
      <c r="B365" t="s">
        <v>2</v>
      </c>
      <c r="C365" t="s">
        <v>2</v>
      </c>
      <c r="D365">
        <v>0.19989499999999999</v>
      </c>
      <c r="E365" t="s">
        <v>2</v>
      </c>
      <c r="F365" t="s">
        <v>2</v>
      </c>
    </row>
    <row r="366" spans="1:10" x14ac:dyDescent="0.25">
      <c r="A366" t="s">
        <v>64</v>
      </c>
      <c r="B366" t="s">
        <v>2</v>
      </c>
      <c r="C366" t="s">
        <v>2</v>
      </c>
      <c r="D366">
        <v>9.3422000000000005E-2</v>
      </c>
      <c r="E366" t="s">
        <v>2</v>
      </c>
      <c r="F366" t="s">
        <v>2</v>
      </c>
    </row>
    <row r="367" spans="1:10" x14ac:dyDescent="0.25">
      <c r="A367" t="s">
        <v>65</v>
      </c>
      <c r="B367" t="s">
        <v>2</v>
      </c>
      <c r="C367" t="s">
        <v>2</v>
      </c>
      <c r="D367">
        <v>5.6891999999999998E-2</v>
      </c>
      <c r="E367" t="s">
        <v>2</v>
      </c>
      <c r="F367" t="s">
        <v>2</v>
      </c>
    </row>
    <row r="368" spans="1:10" x14ac:dyDescent="0.25">
      <c r="A368" t="s">
        <v>66</v>
      </c>
      <c r="B368" t="s">
        <v>2</v>
      </c>
      <c r="C368" t="s">
        <v>2</v>
      </c>
      <c r="D368">
        <v>2.2734000000000001E-2</v>
      </c>
      <c r="E368" t="s">
        <v>2</v>
      </c>
      <c r="F368" t="s">
        <v>2</v>
      </c>
    </row>
    <row r="369" spans="1:6" x14ac:dyDescent="0.25">
      <c r="A369" t="s">
        <v>81</v>
      </c>
      <c r="B369" t="s">
        <v>2</v>
      </c>
      <c r="C369" t="s">
        <v>2</v>
      </c>
      <c r="D369">
        <v>0.17219599999999999</v>
      </c>
      <c r="E369" t="s">
        <v>2</v>
      </c>
      <c r="F369" t="s">
        <v>2</v>
      </c>
    </row>
    <row r="370" spans="1:6" x14ac:dyDescent="0.25">
      <c r="A370" t="s">
        <v>2</v>
      </c>
      <c r="B370" t="s">
        <v>2</v>
      </c>
      <c r="C370" t="s">
        <v>2</v>
      </c>
      <c r="D370" t="s">
        <v>2</v>
      </c>
      <c r="E370" t="s">
        <v>2</v>
      </c>
      <c r="F370" t="s">
        <v>2</v>
      </c>
    </row>
    <row r="371" spans="1:6" x14ac:dyDescent="0.25">
      <c r="A371" t="s">
        <v>119</v>
      </c>
      <c r="B371" t="s">
        <v>168</v>
      </c>
      <c r="C371" t="s">
        <v>120</v>
      </c>
      <c r="D371" t="s">
        <v>2</v>
      </c>
      <c r="E371" t="s">
        <v>2</v>
      </c>
      <c r="F371" t="s">
        <v>2</v>
      </c>
    </row>
    <row r="372" spans="1:6" x14ac:dyDescent="0.25">
      <c r="A372" t="s">
        <v>3</v>
      </c>
      <c r="B372" t="s">
        <v>4</v>
      </c>
      <c r="C372" t="s">
        <v>5</v>
      </c>
      <c r="D372" t="s">
        <v>6</v>
      </c>
      <c r="E372" t="s">
        <v>7</v>
      </c>
      <c r="F372" t="s">
        <v>8</v>
      </c>
    </row>
    <row r="373" spans="1:6" x14ac:dyDescent="0.25">
      <c r="A373" t="s">
        <v>9</v>
      </c>
      <c r="B373" t="s">
        <v>10</v>
      </c>
      <c r="C373">
        <v>1046393.08</v>
      </c>
      <c r="D373">
        <v>2.2453000000000001E-2</v>
      </c>
      <c r="E373" t="s">
        <v>2</v>
      </c>
      <c r="F373" t="s">
        <v>2</v>
      </c>
    </row>
    <row r="374" spans="1:6" x14ac:dyDescent="0.25">
      <c r="A374" t="s">
        <v>11</v>
      </c>
      <c r="B374" t="s">
        <v>12</v>
      </c>
      <c r="C374">
        <v>1046320.56</v>
      </c>
      <c r="D374">
        <v>2.2450999999999999E-2</v>
      </c>
      <c r="E374" t="s">
        <v>2</v>
      </c>
      <c r="F374" t="s">
        <v>2</v>
      </c>
    </row>
    <row r="375" spans="1:6" x14ac:dyDescent="0.25">
      <c r="A375" t="s">
        <v>13</v>
      </c>
      <c r="B375" t="s">
        <v>14</v>
      </c>
      <c r="C375">
        <v>72.52</v>
      </c>
      <c r="D375">
        <v>1.9999999999999999E-6</v>
      </c>
      <c r="E375" t="s">
        <v>2</v>
      </c>
      <c r="F375" t="s">
        <v>2</v>
      </c>
    </row>
    <row r="376" spans="1:6" x14ac:dyDescent="0.25">
      <c r="A376" t="s">
        <v>15</v>
      </c>
      <c r="B376" t="s">
        <v>16</v>
      </c>
      <c r="C376">
        <v>8570417.3000000007</v>
      </c>
      <c r="D376">
        <v>0.183896</v>
      </c>
      <c r="E376" t="s">
        <v>2</v>
      </c>
      <c r="F376" t="s">
        <v>2</v>
      </c>
    </row>
    <row r="377" spans="1:6" x14ac:dyDescent="0.25">
      <c r="A377" t="s">
        <v>17</v>
      </c>
      <c r="B377" t="s">
        <v>18</v>
      </c>
      <c r="C377">
        <v>12051212.59</v>
      </c>
      <c r="D377">
        <v>0.25858399999999998</v>
      </c>
      <c r="E377" t="s">
        <v>2</v>
      </c>
      <c r="F377" t="s">
        <v>2</v>
      </c>
    </row>
    <row r="378" spans="1:6" x14ac:dyDescent="0.25">
      <c r="A378" t="s">
        <v>19</v>
      </c>
      <c r="B378" t="s">
        <v>20</v>
      </c>
      <c r="C378">
        <v>2151851.15</v>
      </c>
      <c r="D378">
        <v>4.6171999999999998E-2</v>
      </c>
      <c r="E378" t="s">
        <v>2</v>
      </c>
      <c r="F378" t="s">
        <v>2</v>
      </c>
    </row>
    <row r="379" spans="1:6" x14ac:dyDescent="0.25">
      <c r="A379" t="s">
        <v>21</v>
      </c>
      <c r="B379" t="s">
        <v>22</v>
      </c>
      <c r="C379">
        <v>86.33</v>
      </c>
      <c r="D379">
        <v>1.9999999999999999E-6</v>
      </c>
      <c r="E379" t="s">
        <v>2</v>
      </c>
      <c r="F379" t="s">
        <v>2</v>
      </c>
    </row>
    <row r="380" spans="1:6" x14ac:dyDescent="0.25">
      <c r="A380" t="s">
        <v>23</v>
      </c>
      <c r="B380" t="s">
        <v>24</v>
      </c>
      <c r="C380">
        <v>11709696.24</v>
      </c>
      <c r="D380">
        <v>0.25125599999999998</v>
      </c>
      <c r="E380">
        <v>1210563.49</v>
      </c>
      <c r="F380" t="s">
        <v>2</v>
      </c>
    </row>
    <row r="381" spans="1:6" x14ac:dyDescent="0.25">
      <c r="A381" t="s">
        <v>25</v>
      </c>
      <c r="B381" t="s">
        <v>26</v>
      </c>
      <c r="C381">
        <v>4947085</v>
      </c>
      <c r="D381">
        <v>0.10614999999999999</v>
      </c>
      <c r="E381">
        <v>512466.5</v>
      </c>
      <c r="F381" t="s">
        <v>2</v>
      </c>
    </row>
    <row r="382" spans="1:6" x14ac:dyDescent="0.25">
      <c r="A382" t="s">
        <v>27</v>
      </c>
      <c r="B382" t="s">
        <v>28</v>
      </c>
      <c r="C382">
        <v>2583163</v>
      </c>
      <c r="D382">
        <v>5.5426999999999997E-2</v>
      </c>
      <c r="E382">
        <v>399633.18</v>
      </c>
      <c r="F382" t="s">
        <v>2</v>
      </c>
    </row>
    <row r="383" spans="1:6" x14ac:dyDescent="0.25">
      <c r="A383" t="s">
        <v>29</v>
      </c>
      <c r="B383" t="s">
        <v>30</v>
      </c>
      <c r="C383">
        <v>480238.8</v>
      </c>
      <c r="D383">
        <v>1.0305E-2</v>
      </c>
      <c r="E383">
        <v>123379.36</v>
      </c>
      <c r="F383" t="s">
        <v>2</v>
      </c>
    </row>
    <row r="384" spans="1:6" x14ac:dyDescent="0.25">
      <c r="A384" t="s">
        <v>69</v>
      </c>
      <c r="B384" t="s">
        <v>70</v>
      </c>
      <c r="C384">
        <v>3497179.44</v>
      </c>
      <c r="D384">
        <v>7.5038999999999995E-2</v>
      </c>
      <c r="E384">
        <v>136033.57</v>
      </c>
      <c r="F384" t="s">
        <v>2</v>
      </c>
    </row>
    <row r="385" spans="1:6" x14ac:dyDescent="0.25">
      <c r="A385" t="s">
        <v>92</v>
      </c>
      <c r="B385" t="s">
        <v>93</v>
      </c>
      <c r="C385">
        <v>202030</v>
      </c>
      <c r="D385">
        <v>4.3350000000000003E-3</v>
      </c>
      <c r="E385">
        <v>39050.879999999997</v>
      </c>
      <c r="F385" t="s">
        <v>2</v>
      </c>
    </row>
    <row r="386" spans="1:6" x14ac:dyDescent="0.25">
      <c r="A386" t="s">
        <v>71</v>
      </c>
      <c r="B386" t="s">
        <v>72</v>
      </c>
      <c r="C386">
        <v>13338679.199999999</v>
      </c>
      <c r="D386">
        <v>0.28620899999999999</v>
      </c>
      <c r="E386">
        <v>154033.91</v>
      </c>
      <c r="F386" t="s">
        <v>2</v>
      </c>
    </row>
    <row r="387" spans="1:6" x14ac:dyDescent="0.25">
      <c r="A387" t="s">
        <v>84</v>
      </c>
      <c r="B387" t="s">
        <v>85</v>
      </c>
      <c r="C387">
        <v>1188540</v>
      </c>
      <c r="D387">
        <v>2.5503000000000001E-2</v>
      </c>
      <c r="E387">
        <v>161727.13</v>
      </c>
      <c r="F387" t="s">
        <v>2</v>
      </c>
    </row>
    <row r="388" spans="1:6" x14ac:dyDescent="0.25">
      <c r="A388" t="s">
        <v>73</v>
      </c>
      <c r="B388" t="s">
        <v>74</v>
      </c>
      <c r="C388">
        <v>11115016</v>
      </c>
      <c r="D388">
        <v>0.23849600000000001</v>
      </c>
      <c r="E388">
        <v>-2356.5700000000002</v>
      </c>
      <c r="F388" t="s">
        <v>2</v>
      </c>
    </row>
    <row r="389" spans="1:6" x14ac:dyDescent="0.25">
      <c r="A389" t="s">
        <v>112</v>
      </c>
      <c r="B389" t="s">
        <v>113</v>
      </c>
      <c r="C389">
        <v>1035123.2</v>
      </c>
      <c r="D389">
        <v>2.2211000000000002E-2</v>
      </c>
      <c r="E389">
        <v>-5336.65</v>
      </c>
      <c r="F389" t="s">
        <v>2</v>
      </c>
    </row>
    <row r="390" spans="1:6" x14ac:dyDescent="0.25">
      <c r="A390" t="s">
        <v>86</v>
      </c>
      <c r="B390" t="s">
        <v>87</v>
      </c>
      <c r="C390">
        <v>25798.85</v>
      </c>
      <c r="D390">
        <v>5.5400000000000002E-4</v>
      </c>
      <c r="E390" t="s">
        <v>2</v>
      </c>
      <c r="F390" t="s">
        <v>2</v>
      </c>
    </row>
    <row r="391" spans="1:6" x14ac:dyDescent="0.25">
      <c r="A391" t="s">
        <v>100</v>
      </c>
      <c r="B391" t="s">
        <v>101</v>
      </c>
      <c r="C391">
        <v>25798.85</v>
      </c>
      <c r="D391">
        <v>5.5400000000000002E-4</v>
      </c>
      <c r="E391" t="s">
        <v>2</v>
      </c>
      <c r="F391" t="s">
        <v>2</v>
      </c>
    </row>
    <row r="392" spans="1:6" x14ac:dyDescent="0.25">
      <c r="A392" t="s">
        <v>31</v>
      </c>
      <c r="B392" t="s">
        <v>32</v>
      </c>
      <c r="C392">
        <v>16.66</v>
      </c>
      <c r="D392">
        <v>0</v>
      </c>
      <c r="E392" t="s">
        <v>2</v>
      </c>
      <c r="F392" t="s">
        <v>2</v>
      </c>
    </row>
    <row r="393" spans="1:6" x14ac:dyDescent="0.25">
      <c r="A393" t="s">
        <v>33</v>
      </c>
      <c r="B393" t="s">
        <v>34</v>
      </c>
      <c r="C393">
        <v>16.66</v>
      </c>
      <c r="D393">
        <v>0</v>
      </c>
      <c r="E393" t="s">
        <v>2</v>
      </c>
      <c r="F393" t="s">
        <v>2</v>
      </c>
    </row>
    <row r="394" spans="1:6" x14ac:dyDescent="0.25">
      <c r="A394" t="s">
        <v>35</v>
      </c>
      <c r="B394" t="s">
        <v>36</v>
      </c>
      <c r="C394">
        <v>1382558.8</v>
      </c>
      <c r="D394">
        <v>2.9666000000000001E-2</v>
      </c>
      <c r="E394">
        <v>1382558.8</v>
      </c>
      <c r="F394" t="s">
        <v>2</v>
      </c>
    </row>
    <row r="395" spans="1:6" x14ac:dyDescent="0.25">
      <c r="A395" t="s">
        <v>37</v>
      </c>
      <c r="B395" t="s">
        <v>38</v>
      </c>
      <c r="C395">
        <v>13250</v>
      </c>
      <c r="D395">
        <v>2.8400000000000002E-4</v>
      </c>
      <c r="E395">
        <v>13250</v>
      </c>
      <c r="F395" t="s">
        <v>2</v>
      </c>
    </row>
    <row r="396" spans="1:6" x14ac:dyDescent="0.25">
      <c r="A396" t="s">
        <v>39</v>
      </c>
      <c r="B396" t="s">
        <v>40</v>
      </c>
      <c r="C396">
        <v>41921250</v>
      </c>
      <c r="D396">
        <v>0.899509</v>
      </c>
      <c r="E396">
        <v>13250</v>
      </c>
      <c r="F396" t="s">
        <v>2</v>
      </c>
    </row>
    <row r="397" spans="1:6" x14ac:dyDescent="0.25">
      <c r="A397" t="s">
        <v>41</v>
      </c>
      <c r="B397" t="s">
        <v>42</v>
      </c>
      <c r="C397">
        <v>1571100</v>
      </c>
      <c r="D397">
        <v>3.3710999999999998E-2</v>
      </c>
      <c r="E397">
        <v>1571100</v>
      </c>
      <c r="F397" t="s">
        <v>2</v>
      </c>
    </row>
    <row r="398" spans="1:6" x14ac:dyDescent="0.25">
      <c r="A398" t="s">
        <v>43</v>
      </c>
      <c r="B398" t="s">
        <v>44</v>
      </c>
      <c r="C398">
        <v>26489560</v>
      </c>
      <c r="D398">
        <v>0.56838900000000003</v>
      </c>
      <c r="E398">
        <v>1571100</v>
      </c>
      <c r="F398" t="s">
        <v>2</v>
      </c>
    </row>
    <row r="399" spans="1:6" x14ac:dyDescent="0.25">
      <c r="A399" t="s">
        <v>94</v>
      </c>
      <c r="B399" t="s">
        <v>95</v>
      </c>
      <c r="C399">
        <v>-240428.79</v>
      </c>
      <c r="D399">
        <v>-5.1590000000000004E-3</v>
      </c>
      <c r="E399">
        <v>-240428.79</v>
      </c>
      <c r="F399" t="s">
        <v>2</v>
      </c>
    </row>
    <row r="400" spans="1:6" x14ac:dyDescent="0.25">
      <c r="A400" t="s">
        <v>96</v>
      </c>
      <c r="B400" t="s">
        <v>97</v>
      </c>
      <c r="C400">
        <v>-11496530</v>
      </c>
      <c r="D400">
        <v>-0.24668200000000001</v>
      </c>
      <c r="E400">
        <v>-240428.79</v>
      </c>
      <c r="F400" t="s">
        <v>2</v>
      </c>
    </row>
    <row r="401" spans="1:6" x14ac:dyDescent="0.25">
      <c r="A401" t="s">
        <v>45</v>
      </c>
      <c r="B401" t="s">
        <v>46</v>
      </c>
      <c r="C401">
        <v>78404.2</v>
      </c>
      <c r="D401">
        <v>1.6819999999999999E-3</v>
      </c>
      <c r="E401">
        <v>78404.2</v>
      </c>
      <c r="F401" t="s">
        <v>2</v>
      </c>
    </row>
    <row r="402" spans="1:6" x14ac:dyDescent="0.25">
      <c r="A402" t="s">
        <v>47</v>
      </c>
      <c r="B402" t="s">
        <v>48</v>
      </c>
      <c r="C402">
        <v>8201340</v>
      </c>
      <c r="D402">
        <v>0.17597699999999999</v>
      </c>
      <c r="E402">
        <v>78404.2</v>
      </c>
      <c r="F402" t="s">
        <v>2</v>
      </c>
    </row>
    <row r="403" spans="1:6" x14ac:dyDescent="0.25">
      <c r="A403" t="s">
        <v>102</v>
      </c>
      <c r="B403" t="s">
        <v>103</v>
      </c>
      <c r="C403">
        <v>251182.27</v>
      </c>
      <c r="D403">
        <v>5.3899999999999998E-3</v>
      </c>
      <c r="E403">
        <v>251182.27</v>
      </c>
      <c r="F403" t="s">
        <v>2</v>
      </c>
    </row>
    <row r="404" spans="1:6" x14ac:dyDescent="0.25">
      <c r="A404" t="s">
        <v>104</v>
      </c>
      <c r="B404" t="s">
        <v>105</v>
      </c>
      <c r="C404">
        <v>-4538360</v>
      </c>
      <c r="D404">
        <v>-9.7379999999999994E-2</v>
      </c>
      <c r="E404">
        <v>251182.27</v>
      </c>
      <c r="F404" t="s">
        <v>2</v>
      </c>
    </row>
    <row r="405" spans="1:6" x14ac:dyDescent="0.25">
      <c r="A405" t="s">
        <v>49</v>
      </c>
      <c r="B405" t="s">
        <v>50</v>
      </c>
      <c r="C405">
        <v>189420</v>
      </c>
      <c r="D405">
        <v>4.0639999999999999E-3</v>
      </c>
      <c r="E405">
        <v>189420</v>
      </c>
      <c r="F405" t="s">
        <v>2</v>
      </c>
    </row>
    <row r="406" spans="1:6" x14ac:dyDescent="0.25">
      <c r="A406" t="s">
        <v>51</v>
      </c>
      <c r="B406" t="s">
        <v>52</v>
      </c>
      <c r="C406">
        <v>5081100</v>
      </c>
      <c r="D406">
        <v>0.109026</v>
      </c>
      <c r="E406">
        <v>189420</v>
      </c>
      <c r="F406" t="s">
        <v>2</v>
      </c>
    </row>
    <row r="407" spans="1:6" x14ac:dyDescent="0.25">
      <c r="A407" t="s">
        <v>53</v>
      </c>
      <c r="B407" t="s">
        <v>54</v>
      </c>
      <c r="C407">
        <v>-530076.74</v>
      </c>
      <c r="D407">
        <v>-1.1374E-2</v>
      </c>
      <c r="E407">
        <v>-530076.74</v>
      </c>
      <c r="F407" t="s">
        <v>2</v>
      </c>
    </row>
    <row r="408" spans="1:6" x14ac:dyDescent="0.25">
      <c r="A408" t="s">
        <v>55</v>
      </c>
      <c r="B408" t="s">
        <v>56</v>
      </c>
      <c r="C408">
        <v>-12853050</v>
      </c>
      <c r="D408">
        <v>-0.27578900000000001</v>
      </c>
      <c r="E408">
        <v>-530076.74</v>
      </c>
      <c r="F408" t="s">
        <v>2</v>
      </c>
    </row>
    <row r="409" spans="1:6" x14ac:dyDescent="0.25">
      <c r="A409" t="s">
        <v>57</v>
      </c>
      <c r="B409" t="s">
        <v>58</v>
      </c>
      <c r="C409">
        <v>-13200</v>
      </c>
      <c r="D409">
        <v>-2.8299999999999999E-4</v>
      </c>
      <c r="E409">
        <v>-13200</v>
      </c>
      <c r="F409" t="s">
        <v>2</v>
      </c>
    </row>
    <row r="410" spans="1:6" x14ac:dyDescent="0.25">
      <c r="A410" t="s">
        <v>59</v>
      </c>
      <c r="B410" t="s">
        <v>60</v>
      </c>
      <c r="C410">
        <v>1582200</v>
      </c>
      <c r="D410">
        <v>3.3949E-2</v>
      </c>
      <c r="E410">
        <v>-13200</v>
      </c>
      <c r="F410" t="s">
        <v>2</v>
      </c>
    </row>
    <row r="411" spans="1:6" x14ac:dyDescent="0.25">
      <c r="A411" t="s">
        <v>75</v>
      </c>
      <c r="B411" t="s">
        <v>76</v>
      </c>
      <c r="C411">
        <v>-7300</v>
      </c>
      <c r="D411">
        <v>-1.5699999999999999E-4</v>
      </c>
      <c r="E411">
        <v>-7300</v>
      </c>
      <c r="F411" t="s">
        <v>2</v>
      </c>
    </row>
    <row r="412" spans="1:6" x14ac:dyDescent="0.25">
      <c r="A412" t="s">
        <v>77</v>
      </c>
      <c r="B412" t="s">
        <v>78</v>
      </c>
      <c r="C412">
        <v>-1515150</v>
      </c>
      <c r="D412">
        <v>-3.2510999999999998E-2</v>
      </c>
      <c r="E412">
        <v>-7300</v>
      </c>
      <c r="F412" t="s">
        <v>2</v>
      </c>
    </row>
    <row r="413" spans="1:6" x14ac:dyDescent="0.25">
      <c r="A413" t="s">
        <v>106</v>
      </c>
      <c r="B413" t="s">
        <v>107</v>
      </c>
      <c r="C413">
        <v>70207.86</v>
      </c>
      <c r="D413">
        <v>1.506E-3</v>
      </c>
      <c r="E413">
        <v>70207.86</v>
      </c>
      <c r="F413" t="s">
        <v>2</v>
      </c>
    </row>
    <row r="414" spans="1:6" x14ac:dyDescent="0.25">
      <c r="A414" t="s">
        <v>108</v>
      </c>
      <c r="B414" t="s">
        <v>109</v>
      </c>
      <c r="C414">
        <v>70207.86</v>
      </c>
      <c r="D414">
        <v>1.506E-3</v>
      </c>
      <c r="E414">
        <v>70207.86</v>
      </c>
      <c r="F414" t="s">
        <v>2</v>
      </c>
    </row>
    <row r="415" spans="1:6" x14ac:dyDescent="0.25">
      <c r="A415" t="s">
        <v>79</v>
      </c>
      <c r="B415" t="s">
        <v>2</v>
      </c>
      <c r="C415" t="s">
        <v>2</v>
      </c>
      <c r="D415">
        <v>0.28620899999999999</v>
      </c>
      <c r="E415" t="s">
        <v>2</v>
      </c>
      <c r="F415" t="s">
        <v>2</v>
      </c>
    </row>
    <row r="416" spans="1:6" x14ac:dyDescent="0.25">
      <c r="A416" t="s">
        <v>61</v>
      </c>
      <c r="B416" t="s">
        <v>2</v>
      </c>
      <c r="C416" t="s">
        <v>2</v>
      </c>
      <c r="D416">
        <v>0.25125599999999998</v>
      </c>
      <c r="E416" t="s">
        <v>2</v>
      </c>
      <c r="F416" t="s">
        <v>2</v>
      </c>
    </row>
    <row r="417" spans="1:6" x14ac:dyDescent="0.25">
      <c r="A417" t="s">
        <v>62</v>
      </c>
      <c r="B417" t="s">
        <v>2</v>
      </c>
      <c r="C417" t="s">
        <v>2</v>
      </c>
      <c r="D417">
        <v>1.1344879999999999</v>
      </c>
      <c r="E417" t="s">
        <v>2</v>
      </c>
      <c r="F417" t="s">
        <v>2</v>
      </c>
    </row>
    <row r="418" spans="1:6" x14ac:dyDescent="0.25">
      <c r="A418" t="s">
        <v>80</v>
      </c>
      <c r="B418" t="s">
        <v>2</v>
      </c>
      <c r="C418" t="s">
        <v>2</v>
      </c>
      <c r="D418">
        <v>0.28620899999999999</v>
      </c>
      <c r="E418" t="s">
        <v>2</v>
      </c>
      <c r="F418" t="s">
        <v>2</v>
      </c>
    </row>
    <row r="419" spans="1:6" x14ac:dyDescent="0.25">
      <c r="A419" t="s">
        <v>63</v>
      </c>
      <c r="B419" t="s">
        <v>2</v>
      </c>
      <c r="C419" t="s">
        <v>2</v>
      </c>
      <c r="D419">
        <v>0.25125599999999998</v>
      </c>
      <c r="E419" t="s">
        <v>2</v>
      </c>
      <c r="F419" t="s">
        <v>2</v>
      </c>
    </row>
    <row r="420" spans="1:6" x14ac:dyDescent="0.25">
      <c r="A420" t="s">
        <v>64</v>
      </c>
      <c r="B420" t="s">
        <v>2</v>
      </c>
      <c r="C420" t="s">
        <v>2</v>
      </c>
      <c r="D420">
        <v>0.110485</v>
      </c>
      <c r="E420" t="s">
        <v>2</v>
      </c>
      <c r="F420" t="s">
        <v>2</v>
      </c>
    </row>
    <row r="421" spans="1:6" x14ac:dyDescent="0.25">
      <c r="A421" t="s">
        <v>65</v>
      </c>
      <c r="B421" t="s">
        <v>2</v>
      </c>
      <c r="C421" t="s">
        <v>2</v>
      </c>
      <c r="D421">
        <v>6.5731999999999999E-2</v>
      </c>
      <c r="E421" t="s">
        <v>2</v>
      </c>
      <c r="F421" t="s">
        <v>2</v>
      </c>
    </row>
    <row r="422" spans="1:6" x14ac:dyDescent="0.25">
      <c r="A422" t="s">
        <v>66</v>
      </c>
      <c r="B422" t="s">
        <v>2</v>
      </c>
      <c r="C422" t="s">
        <v>2</v>
      </c>
      <c r="D422">
        <v>1.0305E-2</v>
      </c>
      <c r="E422" t="s">
        <v>2</v>
      </c>
      <c r="F422" t="s">
        <v>2</v>
      </c>
    </row>
    <row r="423" spans="1:6" x14ac:dyDescent="0.25">
      <c r="A423" t="s">
        <v>81</v>
      </c>
      <c r="B423" t="s">
        <v>2</v>
      </c>
      <c r="C423" t="s">
        <v>2</v>
      </c>
      <c r="D423">
        <v>0.18377099999999999</v>
      </c>
      <c r="E423" t="s">
        <v>2</v>
      </c>
      <c r="F423" t="s">
        <v>2</v>
      </c>
    </row>
    <row r="424" spans="1:6" x14ac:dyDescent="0.25">
      <c r="A424" t="s">
        <v>2</v>
      </c>
      <c r="B424" t="s">
        <v>2</v>
      </c>
      <c r="C424" t="s">
        <v>2</v>
      </c>
      <c r="D424" t="s">
        <v>2</v>
      </c>
      <c r="E424" t="s">
        <v>2</v>
      </c>
      <c r="F424" t="s">
        <v>2</v>
      </c>
    </row>
    <row r="425" spans="1:6" x14ac:dyDescent="0.25">
      <c r="A425" t="s">
        <v>121</v>
      </c>
      <c r="B425" t="s">
        <v>169</v>
      </c>
      <c r="C425" t="s">
        <v>122</v>
      </c>
      <c r="D425" t="s">
        <v>2</v>
      </c>
      <c r="E425" t="s">
        <v>2</v>
      </c>
      <c r="F425" t="s">
        <v>2</v>
      </c>
    </row>
    <row r="426" spans="1:6" x14ac:dyDescent="0.25">
      <c r="A426" t="s">
        <v>3</v>
      </c>
      <c r="B426" t="s">
        <v>4</v>
      </c>
      <c r="C426" t="s">
        <v>5</v>
      </c>
      <c r="D426" t="s">
        <v>6</v>
      </c>
      <c r="E426" t="s">
        <v>7</v>
      </c>
      <c r="F426" t="s">
        <v>8</v>
      </c>
    </row>
    <row r="427" spans="1:6" x14ac:dyDescent="0.25">
      <c r="A427" t="s">
        <v>9</v>
      </c>
      <c r="B427" t="s">
        <v>10</v>
      </c>
      <c r="C427">
        <v>113466.13</v>
      </c>
      <c r="D427">
        <v>1.047E-3</v>
      </c>
      <c r="E427" t="s">
        <v>2</v>
      </c>
      <c r="F427" t="s">
        <v>2</v>
      </c>
    </row>
    <row r="428" spans="1:6" x14ac:dyDescent="0.25">
      <c r="A428" t="s">
        <v>11</v>
      </c>
      <c r="B428" t="s">
        <v>12</v>
      </c>
      <c r="C428">
        <v>113065.15</v>
      </c>
      <c r="D428">
        <v>1.0430000000000001E-3</v>
      </c>
      <c r="E428" t="s">
        <v>2</v>
      </c>
      <c r="F428" t="s">
        <v>2</v>
      </c>
    </row>
    <row r="429" spans="1:6" x14ac:dyDescent="0.25">
      <c r="A429" t="s">
        <v>13</v>
      </c>
      <c r="B429" t="s">
        <v>14</v>
      </c>
      <c r="C429">
        <v>400.98</v>
      </c>
      <c r="D429">
        <v>3.9999999999999998E-6</v>
      </c>
      <c r="E429" t="s">
        <v>2</v>
      </c>
      <c r="F429" t="s">
        <v>2</v>
      </c>
    </row>
    <row r="430" spans="1:6" x14ac:dyDescent="0.25">
      <c r="A430" t="s">
        <v>15</v>
      </c>
      <c r="B430" t="s">
        <v>16</v>
      </c>
      <c r="C430">
        <v>18512607.82</v>
      </c>
      <c r="D430">
        <v>0.170797</v>
      </c>
      <c r="E430" t="s">
        <v>2</v>
      </c>
      <c r="F430" t="s">
        <v>2</v>
      </c>
    </row>
    <row r="431" spans="1:6" x14ac:dyDescent="0.25">
      <c r="A431" t="s">
        <v>123</v>
      </c>
      <c r="B431" t="s">
        <v>124</v>
      </c>
      <c r="C431">
        <v>1.23</v>
      </c>
      <c r="D431">
        <v>0</v>
      </c>
      <c r="E431" t="s">
        <v>2</v>
      </c>
      <c r="F431" t="s">
        <v>2</v>
      </c>
    </row>
    <row r="432" spans="1:6" x14ac:dyDescent="0.25">
      <c r="A432" t="s">
        <v>17</v>
      </c>
      <c r="B432" t="s">
        <v>18</v>
      </c>
      <c r="C432">
        <v>23492461.699999999</v>
      </c>
      <c r="D432">
        <v>0.21674099999999999</v>
      </c>
      <c r="E432" t="s">
        <v>2</v>
      </c>
      <c r="F432" t="s">
        <v>2</v>
      </c>
    </row>
    <row r="433" spans="1:6" x14ac:dyDescent="0.25">
      <c r="A433" t="s">
        <v>19</v>
      </c>
      <c r="B433" t="s">
        <v>20</v>
      </c>
      <c r="C433">
        <v>4545306.9800000004</v>
      </c>
      <c r="D433">
        <v>4.1935E-2</v>
      </c>
      <c r="E433" t="s">
        <v>2</v>
      </c>
      <c r="F433" t="s">
        <v>2</v>
      </c>
    </row>
    <row r="434" spans="1:6" x14ac:dyDescent="0.25">
      <c r="A434" t="s">
        <v>21</v>
      </c>
      <c r="B434" t="s">
        <v>22</v>
      </c>
      <c r="C434">
        <v>1797.64</v>
      </c>
      <c r="D434">
        <v>1.7E-5</v>
      </c>
      <c r="E434" t="s">
        <v>2</v>
      </c>
      <c r="F434" t="s">
        <v>2</v>
      </c>
    </row>
    <row r="435" spans="1:6" x14ac:dyDescent="0.25">
      <c r="A435" t="s">
        <v>23</v>
      </c>
      <c r="B435" t="s">
        <v>24</v>
      </c>
      <c r="C435">
        <v>34906633.890000001</v>
      </c>
      <c r="D435">
        <v>0.32204700000000003</v>
      </c>
      <c r="E435">
        <v>-372962.02</v>
      </c>
      <c r="F435" t="s">
        <v>2</v>
      </c>
    </row>
    <row r="436" spans="1:6" x14ac:dyDescent="0.25">
      <c r="A436" t="s">
        <v>25</v>
      </c>
      <c r="B436" t="s">
        <v>26</v>
      </c>
      <c r="C436">
        <v>12883391</v>
      </c>
      <c r="D436">
        <v>0.118862</v>
      </c>
      <c r="E436">
        <v>-247907.66</v>
      </c>
      <c r="F436" t="s">
        <v>2</v>
      </c>
    </row>
    <row r="437" spans="1:6" x14ac:dyDescent="0.25">
      <c r="A437" t="s">
        <v>27</v>
      </c>
      <c r="B437" t="s">
        <v>28</v>
      </c>
      <c r="C437">
        <v>10042919</v>
      </c>
      <c r="D437">
        <v>9.2656000000000002E-2</v>
      </c>
      <c r="E437">
        <v>51462.31</v>
      </c>
      <c r="F437" t="s">
        <v>2</v>
      </c>
    </row>
    <row r="438" spans="1:6" x14ac:dyDescent="0.25">
      <c r="A438" t="s">
        <v>29</v>
      </c>
      <c r="B438" t="s">
        <v>30</v>
      </c>
      <c r="C438">
        <v>2517646.6</v>
      </c>
      <c r="D438">
        <v>2.3227999999999999E-2</v>
      </c>
      <c r="E438">
        <v>150326.16</v>
      </c>
      <c r="F438" t="s">
        <v>2</v>
      </c>
    </row>
    <row r="439" spans="1:6" x14ac:dyDescent="0.25">
      <c r="A439" t="s">
        <v>69</v>
      </c>
      <c r="B439" t="s">
        <v>70</v>
      </c>
      <c r="C439">
        <v>9000669.2899999991</v>
      </c>
      <c r="D439">
        <v>8.3040000000000003E-2</v>
      </c>
      <c r="E439">
        <v>-359569.6</v>
      </c>
      <c r="F439" t="s">
        <v>2</v>
      </c>
    </row>
    <row r="440" spans="1:6" x14ac:dyDescent="0.25">
      <c r="A440" t="s">
        <v>92</v>
      </c>
      <c r="B440" t="s">
        <v>93</v>
      </c>
      <c r="C440">
        <v>462008</v>
      </c>
      <c r="D440">
        <v>4.2620000000000002E-3</v>
      </c>
      <c r="E440">
        <v>32726.77</v>
      </c>
      <c r="F440" t="s">
        <v>2</v>
      </c>
    </row>
    <row r="441" spans="1:6" x14ac:dyDescent="0.25">
      <c r="A441" t="s">
        <v>71</v>
      </c>
      <c r="B441" t="s">
        <v>72</v>
      </c>
      <c r="C441">
        <v>32132206.539999999</v>
      </c>
      <c r="D441">
        <v>0.29645100000000002</v>
      </c>
      <c r="E441">
        <v>1052.55</v>
      </c>
      <c r="F441" t="s">
        <v>2</v>
      </c>
    </row>
    <row r="442" spans="1:6" x14ac:dyDescent="0.25">
      <c r="A442" t="s">
        <v>73</v>
      </c>
      <c r="B442" t="s">
        <v>74</v>
      </c>
      <c r="C442">
        <v>32132206.539999999</v>
      </c>
      <c r="D442">
        <v>0.29645100000000002</v>
      </c>
      <c r="E442">
        <v>1052.55</v>
      </c>
      <c r="F442" t="s">
        <v>2</v>
      </c>
    </row>
    <row r="443" spans="1:6" x14ac:dyDescent="0.25">
      <c r="A443" t="s">
        <v>86</v>
      </c>
      <c r="B443" t="s">
        <v>87</v>
      </c>
      <c r="C443">
        <v>3989.73</v>
      </c>
      <c r="D443">
        <v>3.6999999999999998E-5</v>
      </c>
      <c r="E443" t="s">
        <v>2</v>
      </c>
      <c r="F443" t="s">
        <v>2</v>
      </c>
    </row>
    <row r="444" spans="1:6" x14ac:dyDescent="0.25">
      <c r="A444" t="s">
        <v>100</v>
      </c>
      <c r="B444" t="s">
        <v>101</v>
      </c>
      <c r="C444">
        <v>3989.73</v>
      </c>
      <c r="D444">
        <v>3.6999999999999998E-5</v>
      </c>
      <c r="E444" t="s">
        <v>2</v>
      </c>
      <c r="F444" t="s">
        <v>2</v>
      </c>
    </row>
    <row r="445" spans="1:6" x14ac:dyDescent="0.25">
      <c r="A445" t="s">
        <v>31</v>
      </c>
      <c r="B445" t="s">
        <v>32</v>
      </c>
      <c r="C445">
        <v>199.96</v>
      </c>
      <c r="D445">
        <v>1.9999999999999999E-6</v>
      </c>
      <c r="E445" t="s">
        <v>2</v>
      </c>
      <c r="F445" t="s">
        <v>2</v>
      </c>
    </row>
    <row r="446" spans="1:6" x14ac:dyDescent="0.25">
      <c r="A446" t="s">
        <v>33</v>
      </c>
      <c r="B446" t="s">
        <v>34</v>
      </c>
      <c r="C446">
        <v>199.96</v>
      </c>
      <c r="D446">
        <v>1.9999999999999999E-6</v>
      </c>
      <c r="E446" t="s">
        <v>2</v>
      </c>
      <c r="F446" t="s">
        <v>2</v>
      </c>
    </row>
    <row r="447" spans="1:6" x14ac:dyDescent="0.25">
      <c r="A447" t="s">
        <v>35</v>
      </c>
      <c r="B447" t="s">
        <v>36</v>
      </c>
      <c r="C447">
        <v>2949413.13</v>
      </c>
      <c r="D447">
        <v>2.7210999999999999E-2</v>
      </c>
      <c r="E447">
        <v>2949413.13</v>
      </c>
      <c r="F447" t="s">
        <v>2</v>
      </c>
    </row>
    <row r="448" spans="1:6" x14ac:dyDescent="0.25">
      <c r="A448" t="s">
        <v>37</v>
      </c>
      <c r="B448" t="s">
        <v>38</v>
      </c>
      <c r="C448">
        <v>116450</v>
      </c>
      <c r="D448">
        <v>1.0740000000000001E-3</v>
      </c>
      <c r="E448">
        <v>116450</v>
      </c>
      <c r="F448" t="s">
        <v>2</v>
      </c>
    </row>
    <row r="449" spans="1:6" x14ac:dyDescent="0.25">
      <c r="A449" t="s">
        <v>39</v>
      </c>
      <c r="B449" t="s">
        <v>40</v>
      </c>
      <c r="C449">
        <v>107705750</v>
      </c>
      <c r="D449">
        <v>0.99368999999999996</v>
      </c>
      <c r="E449">
        <v>116450</v>
      </c>
      <c r="F449" t="s">
        <v>2</v>
      </c>
    </row>
    <row r="450" spans="1:6" x14ac:dyDescent="0.25">
      <c r="A450" t="s">
        <v>41</v>
      </c>
      <c r="B450" t="s">
        <v>42</v>
      </c>
      <c r="C450">
        <v>3687810</v>
      </c>
      <c r="D450">
        <v>3.4023999999999999E-2</v>
      </c>
      <c r="E450">
        <v>3687810</v>
      </c>
      <c r="F450" t="s">
        <v>2</v>
      </c>
    </row>
    <row r="451" spans="1:6" x14ac:dyDescent="0.25">
      <c r="A451" t="s">
        <v>43</v>
      </c>
      <c r="B451" t="s">
        <v>44</v>
      </c>
      <c r="C451">
        <v>64620630</v>
      </c>
      <c r="D451">
        <v>0.59618800000000005</v>
      </c>
      <c r="E451">
        <v>3687810</v>
      </c>
      <c r="F451" t="s">
        <v>2</v>
      </c>
    </row>
    <row r="452" spans="1:6" x14ac:dyDescent="0.25">
      <c r="A452" t="s">
        <v>94</v>
      </c>
      <c r="B452" t="s">
        <v>95</v>
      </c>
      <c r="C452">
        <v>-156905</v>
      </c>
      <c r="D452">
        <v>-1.4480000000000001E-3</v>
      </c>
      <c r="E452">
        <v>-156905</v>
      </c>
      <c r="F452" t="s">
        <v>2</v>
      </c>
    </row>
    <row r="453" spans="1:6" x14ac:dyDescent="0.25">
      <c r="A453" t="s">
        <v>96</v>
      </c>
      <c r="B453" t="s">
        <v>97</v>
      </c>
      <c r="C453">
        <v>-27518000</v>
      </c>
      <c r="D453">
        <v>-0.25387999999999999</v>
      </c>
      <c r="E453">
        <v>-156905</v>
      </c>
      <c r="F453" t="s">
        <v>2</v>
      </c>
    </row>
    <row r="454" spans="1:6" x14ac:dyDescent="0.25">
      <c r="A454" t="s">
        <v>45</v>
      </c>
      <c r="B454" t="s">
        <v>46</v>
      </c>
      <c r="C454">
        <v>59856.46</v>
      </c>
      <c r="D454">
        <v>5.5199999999999997E-4</v>
      </c>
      <c r="E454">
        <v>59856.46</v>
      </c>
      <c r="F454" t="s">
        <v>2</v>
      </c>
    </row>
    <row r="455" spans="1:6" x14ac:dyDescent="0.25">
      <c r="A455" t="s">
        <v>47</v>
      </c>
      <c r="B455" t="s">
        <v>48</v>
      </c>
      <c r="C455">
        <v>5735040</v>
      </c>
      <c r="D455">
        <v>5.2911E-2</v>
      </c>
      <c r="E455">
        <v>59856.46</v>
      </c>
      <c r="F455" t="s">
        <v>2</v>
      </c>
    </row>
    <row r="456" spans="1:6" x14ac:dyDescent="0.25">
      <c r="A456" t="s">
        <v>102</v>
      </c>
      <c r="B456" t="s">
        <v>103</v>
      </c>
      <c r="C456">
        <v>481830.23</v>
      </c>
      <c r="D456">
        <v>4.4450000000000002E-3</v>
      </c>
      <c r="E456">
        <v>481830.23</v>
      </c>
      <c r="F456" t="s">
        <v>2</v>
      </c>
    </row>
    <row r="457" spans="1:6" x14ac:dyDescent="0.25">
      <c r="A457" t="s">
        <v>104</v>
      </c>
      <c r="B457" t="s">
        <v>105</v>
      </c>
      <c r="C457">
        <v>-15738765</v>
      </c>
      <c r="D457">
        <v>-0.145205</v>
      </c>
      <c r="E457">
        <v>481830.23</v>
      </c>
      <c r="F457" t="s">
        <v>2</v>
      </c>
    </row>
    <row r="458" spans="1:6" x14ac:dyDescent="0.25">
      <c r="A458" t="s">
        <v>49</v>
      </c>
      <c r="B458" t="s">
        <v>50</v>
      </c>
      <c r="C458">
        <v>34110</v>
      </c>
      <c r="D458">
        <v>3.1500000000000001E-4</v>
      </c>
      <c r="E458">
        <v>34110</v>
      </c>
      <c r="F458" t="s">
        <v>2</v>
      </c>
    </row>
    <row r="459" spans="1:6" x14ac:dyDescent="0.25">
      <c r="A459" t="s">
        <v>51</v>
      </c>
      <c r="B459" t="s">
        <v>52</v>
      </c>
      <c r="C459">
        <v>15320000</v>
      </c>
      <c r="D459">
        <v>0.141342</v>
      </c>
      <c r="E459">
        <v>34110</v>
      </c>
      <c r="F459" t="s">
        <v>2</v>
      </c>
    </row>
    <row r="460" spans="1:6" x14ac:dyDescent="0.25">
      <c r="A460" t="s">
        <v>53</v>
      </c>
      <c r="B460" t="s">
        <v>54</v>
      </c>
      <c r="C460">
        <v>-547371.74</v>
      </c>
      <c r="D460">
        <v>-5.0499999999999998E-3</v>
      </c>
      <c r="E460">
        <v>-547371.74</v>
      </c>
      <c r="F460" t="s">
        <v>2</v>
      </c>
    </row>
    <row r="461" spans="1:6" x14ac:dyDescent="0.25">
      <c r="A461" t="s">
        <v>55</v>
      </c>
      <c r="B461" t="s">
        <v>56</v>
      </c>
      <c r="C461">
        <v>-29643520</v>
      </c>
      <c r="D461">
        <v>-0.27349000000000001</v>
      </c>
      <c r="E461">
        <v>-547371.74</v>
      </c>
      <c r="F461" t="s">
        <v>2</v>
      </c>
    </row>
    <row r="462" spans="1:6" x14ac:dyDescent="0.25">
      <c r="A462" t="s">
        <v>75</v>
      </c>
      <c r="B462" t="s">
        <v>76</v>
      </c>
      <c r="C462">
        <v>-54400</v>
      </c>
      <c r="D462">
        <v>-5.0199999999999995E-4</v>
      </c>
      <c r="E462">
        <v>-54400</v>
      </c>
      <c r="F462" t="s">
        <v>2</v>
      </c>
    </row>
    <row r="463" spans="1:6" x14ac:dyDescent="0.25">
      <c r="A463" t="s">
        <v>77</v>
      </c>
      <c r="B463" t="s">
        <v>78</v>
      </c>
      <c r="C463">
        <v>-5762750</v>
      </c>
      <c r="D463">
        <v>-5.3166999999999999E-2</v>
      </c>
      <c r="E463">
        <v>-54400</v>
      </c>
      <c r="F463" t="s">
        <v>2</v>
      </c>
    </row>
    <row r="464" spans="1:6" x14ac:dyDescent="0.25">
      <c r="A464" t="s">
        <v>106</v>
      </c>
      <c r="B464" t="s">
        <v>107</v>
      </c>
      <c r="C464">
        <v>-671966.82</v>
      </c>
      <c r="D464">
        <v>-6.1999999999999998E-3</v>
      </c>
      <c r="E464">
        <v>-671966.82</v>
      </c>
      <c r="F464" t="s">
        <v>2</v>
      </c>
    </row>
    <row r="465" spans="1:6" x14ac:dyDescent="0.25">
      <c r="A465" t="s">
        <v>108</v>
      </c>
      <c r="B465" t="s">
        <v>109</v>
      </c>
      <c r="C465">
        <v>-671966.82</v>
      </c>
      <c r="D465">
        <v>-6.1999999999999998E-3</v>
      </c>
      <c r="E465">
        <v>-671966.82</v>
      </c>
      <c r="F465" t="s">
        <v>2</v>
      </c>
    </row>
    <row r="466" spans="1:6" x14ac:dyDescent="0.25">
      <c r="A466" t="s">
        <v>79</v>
      </c>
      <c r="B466" t="s">
        <v>2</v>
      </c>
      <c r="C466" t="s">
        <v>2</v>
      </c>
      <c r="D466">
        <v>0.29645100000000002</v>
      </c>
      <c r="E466" t="s">
        <v>2</v>
      </c>
      <c r="F466" t="s">
        <v>2</v>
      </c>
    </row>
    <row r="467" spans="1:6" x14ac:dyDescent="0.25">
      <c r="A467" t="s">
        <v>61</v>
      </c>
      <c r="B467" t="s">
        <v>2</v>
      </c>
      <c r="C467" t="s">
        <v>2</v>
      </c>
      <c r="D467">
        <v>0.32204700000000003</v>
      </c>
      <c r="E467" t="s">
        <v>2</v>
      </c>
      <c r="F467" t="s">
        <v>2</v>
      </c>
    </row>
    <row r="468" spans="1:6" x14ac:dyDescent="0.25">
      <c r="A468" t="s">
        <v>62</v>
      </c>
      <c r="B468" t="s">
        <v>2</v>
      </c>
      <c r="C468" t="s">
        <v>2</v>
      </c>
      <c r="D468">
        <v>1.0583880000000001</v>
      </c>
      <c r="E468" t="s">
        <v>2</v>
      </c>
      <c r="F468" t="s">
        <v>2</v>
      </c>
    </row>
    <row r="469" spans="1:6" x14ac:dyDescent="0.25">
      <c r="A469" t="s">
        <v>80</v>
      </c>
      <c r="B469" t="s">
        <v>2</v>
      </c>
      <c r="C469" t="s">
        <v>2</v>
      </c>
      <c r="D469">
        <v>0.29645100000000002</v>
      </c>
      <c r="E469" t="s">
        <v>2</v>
      </c>
      <c r="F469" t="s">
        <v>2</v>
      </c>
    </row>
    <row r="470" spans="1:6" x14ac:dyDescent="0.25">
      <c r="A470" t="s">
        <v>63</v>
      </c>
      <c r="B470" t="s">
        <v>2</v>
      </c>
      <c r="C470" t="s">
        <v>2</v>
      </c>
      <c r="D470">
        <v>0.32204700000000003</v>
      </c>
      <c r="E470" t="s">
        <v>2</v>
      </c>
      <c r="F470" t="s">
        <v>2</v>
      </c>
    </row>
    <row r="471" spans="1:6" x14ac:dyDescent="0.25">
      <c r="A471" t="s">
        <v>64</v>
      </c>
      <c r="B471" t="s">
        <v>2</v>
      </c>
      <c r="C471" t="s">
        <v>2</v>
      </c>
      <c r="D471">
        <v>0.123124</v>
      </c>
      <c r="E471" t="s">
        <v>2</v>
      </c>
      <c r="F471" t="s">
        <v>2</v>
      </c>
    </row>
    <row r="472" spans="1:6" x14ac:dyDescent="0.25">
      <c r="A472" t="s">
        <v>65</v>
      </c>
      <c r="B472" t="s">
        <v>2</v>
      </c>
      <c r="C472" t="s">
        <v>2</v>
      </c>
      <c r="D472">
        <v>0.115883</v>
      </c>
      <c r="E472" t="s">
        <v>2</v>
      </c>
      <c r="F472" t="s">
        <v>2</v>
      </c>
    </row>
    <row r="473" spans="1:6" x14ac:dyDescent="0.25">
      <c r="A473" t="s">
        <v>66</v>
      </c>
      <c r="B473" t="s">
        <v>2</v>
      </c>
      <c r="C473" t="s">
        <v>2</v>
      </c>
      <c r="D473">
        <v>2.3227999999999999E-2</v>
      </c>
      <c r="E473" t="s">
        <v>2</v>
      </c>
      <c r="F473" t="s">
        <v>2</v>
      </c>
    </row>
    <row r="474" spans="1:6" x14ac:dyDescent="0.25">
      <c r="A474" t="s">
        <v>81</v>
      </c>
      <c r="B474" t="s">
        <v>2</v>
      </c>
      <c r="C474" t="s">
        <v>2</v>
      </c>
      <c r="D474">
        <v>0.15915000000000001</v>
      </c>
      <c r="E474" t="s">
        <v>2</v>
      </c>
      <c r="F474" t="s">
        <v>2</v>
      </c>
    </row>
    <row r="475" spans="1:6" x14ac:dyDescent="0.25">
      <c r="A475" t="s">
        <v>2</v>
      </c>
      <c r="B475" t="s">
        <v>2</v>
      </c>
      <c r="C475" t="s">
        <v>2</v>
      </c>
      <c r="D475" t="s">
        <v>2</v>
      </c>
      <c r="E475" t="s">
        <v>2</v>
      </c>
      <c r="F475" t="s">
        <v>2</v>
      </c>
    </row>
    <row r="476" spans="1:6" x14ac:dyDescent="0.25">
      <c r="A476" t="s">
        <v>125</v>
      </c>
      <c r="B476" t="s">
        <v>170</v>
      </c>
      <c r="C476" t="s">
        <v>126</v>
      </c>
      <c r="D476" t="s">
        <v>2</v>
      </c>
      <c r="E476" t="s">
        <v>2</v>
      </c>
      <c r="F476" t="s">
        <v>2</v>
      </c>
    </row>
    <row r="477" spans="1:6" x14ac:dyDescent="0.25">
      <c r="A477" t="s">
        <v>3</v>
      </c>
      <c r="B477" t="s">
        <v>4</v>
      </c>
      <c r="C477" t="s">
        <v>5</v>
      </c>
      <c r="D477" t="s">
        <v>6</v>
      </c>
      <c r="E477" t="s">
        <v>7</v>
      </c>
      <c r="F477" t="s">
        <v>8</v>
      </c>
    </row>
    <row r="478" spans="1:6" x14ac:dyDescent="0.25">
      <c r="A478" t="s">
        <v>9</v>
      </c>
      <c r="B478" t="s">
        <v>10</v>
      </c>
      <c r="C478">
        <v>110770.79</v>
      </c>
      <c r="D478">
        <v>1.0120000000000001E-3</v>
      </c>
      <c r="E478" t="s">
        <v>2</v>
      </c>
      <c r="F478" t="s">
        <v>2</v>
      </c>
    </row>
    <row r="479" spans="1:6" x14ac:dyDescent="0.25">
      <c r="A479" t="s">
        <v>11</v>
      </c>
      <c r="B479" t="s">
        <v>12</v>
      </c>
      <c r="C479">
        <v>110338.66</v>
      </c>
      <c r="D479">
        <v>1.008E-3</v>
      </c>
      <c r="E479" t="s">
        <v>2</v>
      </c>
      <c r="F479" t="s">
        <v>2</v>
      </c>
    </row>
    <row r="480" spans="1:6" x14ac:dyDescent="0.25">
      <c r="A480" t="s">
        <v>13</v>
      </c>
      <c r="B480" t="s">
        <v>14</v>
      </c>
      <c r="C480">
        <v>432.13</v>
      </c>
      <c r="D480">
        <v>3.9999999999999998E-6</v>
      </c>
      <c r="E480" t="s">
        <v>2</v>
      </c>
      <c r="F480" t="s">
        <v>2</v>
      </c>
    </row>
    <row r="481" spans="1:6" x14ac:dyDescent="0.25">
      <c r="A481" t="s">
        <v>15</v>
      </c>
      <c r="B481" t="s">
        <v>16</v>
      </c>
      <c r="C481">
        <v>26467767.699999999</v>
      </c>
      <c r="D481">
        <v>0.24173600000000001</v>
      </c>
      <c r="E481" t="s">
        <v>2</v>
      </c>
      <c r="F481" t="s">
        <v>2</v>
      </c>
    </row>
    <row r="482" spans="1:6" x14ac:dyDescent="0.25">
      <c r="A482" t="s">
        <v>123</v>
      </c>
      <c r="B482" t="s">
        <v>124</v>
      </c>
      <c r="C482">
        <v>14.06</v>
      </c>
      <c r="D482">
        <v>0</v>
      </c>
      <c r="E482" t="s">
        <v>2</v>
      </c>
      <c r="F482" t="s">
        <v>2</v>
      </c>
    </row>
    <row r="483" spans="1:6" x14ac:dyDescent="0.25">
      <c r="A483" t="s">
        <v>17</v>
      </c>
      <c r="B483" t="s">
        <v>18</v>
      </c>
      <c r="C483">
        <v>16014919.42</v>
      </c>
      <c r="D483">
        <v>0.14626800000000001</v>
      </c>
      <c r="E483" t="s">
        <v>2</v>
      </c>
      <c r="F483" t="s">
        <v>2</v>
      </c>
    </row>
    <row r="484" spans="1:6" x14ac:dyDescent="0.25">
      <c r="A484" t="s">
        <v>19</v>
      </c>
      <c r="B484" t="s">
        <v>20</v>
      </c>
      <c r="C484">
        <v>4524767.25</v>
      </c>
      <c r="D484">
        <v>4.1326000000000002E-2</v>
      </c>
      <c r="E484" t="s">
        <v>2</v>
      </c>
      <c r="F484" t="s">
        <v>2</v>
      </c>
    </row>
    <row r="485" spans="1:6" x14ac:dyDescent="0.25">
      <c r="A485" t="s">
        <v>21</v>
      </c>
      <c r="B485" t="s">
        <v>22</v>
      </c>
      <c r="C485">
        <v>201.05</v>
      </c>
      <c r="D485">
        <v>1.9999999999999999E-6</v>
      </c>
      <c r="E485" t="s">
        <v>2</v>
      </c>
      <c r="F485" t="s">
        <v>2</v>
      </c>
    </row>
    <row r="486" spans="1:6" x14ac:dyDescent="0.25">
      <c r="A486" t="s">
        <v>23</v>
      </c>
      <c r="B486" t="s">
        <v>24</v>
      </c>
      <c r="C486">
        <v>33898384.840000004</v>
      </c>
      <c r="D486">
        <v>0.30960199999999999</v>
      </c>
      <c r="E486">
        <v>-525762.63</v>
      </c>
      <c r="F486" t="s">
        <v>2</v>
      </c>
    </row>
    <row r="487" spans="1:6" x14ac:dyDescent="0.25">
      <c r="A487" t="s">
        <v>25</v>
      </c>
      <c r="B487" t="s">
        <v>26</v>
      </c>
      <c r="C487">
        <v>15985916</v>
      </c>
      <c r="D487">
        <v>0.14600299999999999</v>
      </c>
      <c r="E487">
        <v>-423169.68</v>
      </c>
      <c r="F487" t="s">
        <v>2</v>
      </c>
    </row>
    <row r="488" spans="1:6" x14ac:dyDescent="0.25">
      <c r="A488" t="s">
        <v>27</v>
      </c>
      <c r="B488" t="s">
        <v>28</v>
      </c>
      <c r="C488">
        <v>7251333</v>
      </c>
      <c r="D488">
        <v>6.6227999999999995E-2</v>
      </c>
      <c r="E488">
        <v>180091.9</v>
      </c>
      <c r="F488" t="s">
        <v>2</v>
      </c>
    </row>
    <row r="489" spans="1:6" x14ac:dyDescent="0.25">
      <c r="A489" t="s">
        <v>29</v>
      </c>
      <c r="B489" t="s">
        <v>30</v>
      </c>
      <c r="C489">
        <v>3321639.6</v>
      </c>
      <c r="D489">
        <v>3.0336999999999999E-2</v>
      </c>
      <c r="E489">
        <v>329896.74</v>
      </c>
      <c r="F489" t="s">
        <v>2</v>
      </c>
    </row>
    <row r="490" spans="1:6" x14ac:dyDescent="0.25">
      <c r="A490" t="s">
        <v>69</v>
      </c>
      <c r="B490" t="s">
        <v>70</v>
      </c>
      <c r="C490">
        <v>6635443.2400000002</v>
      </c>
      <c r="D490">
        <v>6.0602999999999997E-2</v>
      </c>
      <c r="E490">
        <v>-605523.37</v>
      </c>
      <c r="F490" t="s">
        <v>2</v>
      </c>
    </row>
    <row r="491" spans="1:6" x14ac:dyDescent="0.25">
      <c r="A491" t="s">
        <v>92</v>
      </c>
      <c r="B491" t="s">
        <v>93</v>
      </c>
      <c r="C491">
        <v>704053</v>
      </c>
      <c r="D491">
        <v>6.43E-3</v>
      </c>
      <c r="E491">
        <v>-7058.22</v>
      </c>
      <c r="F491" t="s">
        <v>2</v>
      </c>
    </row>
    <row r="492" spans="1:6" x14ac:dyDescent="0.25">
      <c r="A492" t="s">
        <v>71</v>
      </c>
      <c r="B492" t="s">
        <v>72</v>
      </c>
      <c r="C492">
        <v>32828539.030000001</v>
      </c>
      <c r="D492">
        <v>0.29983100000000001</v>
      </c>
      <c r="E492">
        <v>-2452.46</v>
      </c>
      <c r="F492" t="s">
        <v>2</v>
      </c>
    </row>
    <row r="493" spans="1:6" x14ac:dyDescent="0.25">
      <c r="A493" t="s">
        <v>84</v>
      </c>
      <c r="B493" t="s">
        <v>85</v>
      </c>
      <c r="C493">
        <v>664222</v>
      </c>
      <c r="D493">
        <v>6.0660000000000002E-3</v>
      </c>
      <c r="E493">
        <v>-2015.5</v>
      </c>
      <c r="F493" t="s">
        <v>2</v>
      </c>
    </row>
    <row r="494" spans="1:6" x14ac:dyDescent="0.25">
      <c r="A494" t="s">
        <v>73</v>
      </c>
      <c r="B494" t="s">
        <v>74</v>
      </c>
      <c r="C494">
        <v>32164317.030000001</v>
      </c>
      <c r="D494">
        <v>0.29376400000000003</v>
      </c>
      <c r="E494">
        <v>-436.96</v>
      </c>
      <c r="F494" t="s">
        <v>2</v>
      </c>
    </row>
    <row r="495" spans="1:6" x14ac:dyDescent="0.25">
      <c r="A495" t="s">
        <v>86</v>
      </c>
      <c r="B495" t="s">
        <v>87</v>
      </c>
      <c r="C495">
        <v>121469.66</v>
      </c>
      <c r="D495">
        <v>1.109E-3</v>
      </c>
      <c r="E495" t="s">
        <v>2</v>
      </c>
      <c r="F495" t="s">
        <v>2</v>
      </c>
    </row>
    <row r="496" spans="1:6" x14ac:dyDescent="0.25">
      <c r="A496" t="s">
        <v>100</v>
      </c>
      <c r="B496" t="s">
        <v>101</v>
      </c>
      <c r="C496">
        <v>121469.66</v>
      </c>
      <c r="D496">
        <v>1.109E-3</v>
      </c>
      <c r="E496" t="s">
        <v>2</v>
      </c>
      <c r="F496" t="s">
        <v>2</v>
      </c>
    </row>
    <row r="497" spans="1:6" x14ac:dyDescent="0.25">
      <c r="A497" t="s">
        <v>31</v>
      </c>
      <c r="B497" t="s">
        <v>32</v>
      </c>
      <c r="C497">
        <v>199.96</v>
      </c>
      <c r="D497">
        <v>1.9999999999999999E-6</v>
      </c>
      <c r="E497" t="s">
        <v>2</v>
      </c>
      <c r="F497" t="s">
        <v>2</v>
      </c>
    </row>
    <row r="498" spans="1:6" x14ac:dyDescent="0.25">
      <c r="A498" t="s">
        <v>33</v>
      </c>
      <c r="B498" t="s">
        <v>34</v>
      </c>
      <c r="C498">
        <v>199.96</v>
      </c>
      <c r="D498">
        <v>1.9999999999999999E-6</v>
      </c>
      <c r="E498" t="s">
        <v>2</v>
      </c>
      <c r="F498" t="s">
        <v>2</v>
      </c>
    </row>
    <row r="499" spans="1:6" x14ac:dyDescent="0.25">
      <c r="A499" t="s">
        <v>35</v>
      </c>
      <c r="B499" t="s">
        <v>36</v>
      </c>
      <c r="C499">
        <v>1161918.67</v>
      </c>
      <c r="D499">
        <v>1.0612E-2</v>
      </c>
      <c r="E499">
        <v>779520.16</v>
      </c>
      <c r="F499" t="s">
        <v>2</v>
      </c>
    </row>
    <row r="500" spans="1:6" x14ac:dyDescent="0.25">
      <c r="A500" t="s">
        <v>37</v>
      </c>
      <c r="B500" t="s">
        <v>38</v>
      </c>
      <c r="C500">
        <v>233200</v>
      </c>
      <c r="D500">
        <v>2.1299999999999999E-3</v>
      </c>
      <c r="E500">
        <v>233200</v>
      </c>
      <c r="F500" t="s">
        <v>2</v>
      </c>
    </row>
    <row r="501" spans="1:6" x14ac:dyDescent="0.25">
      <c r="A501" t="s">
        <v>39</v>
      </c>
      <c r="B501" t="s">
        <v>40</v>
      </c>
      <c r="C501">
        <v>159125350</v>
      </c>
      <c r="D501">
        <v>1.4533290000000001</v>
      </c>
      <c r="E501">
        <v>233200</v>
      </c>
      <c r="F501" t="s">
        <v>2</v>
      </c>
    </row>
    <row r="502" spans="1:6" x14ac:dyDescent="0.25">
      <c r="A502" t="s">
        <v>41</v>
      </c>
      <c r="B502" t="s">
        <v>42</v>
      </c>
      <c r="C502">
        <v>-123560.19</v>
      </c>
      <c r="D502">
        <v>-1.129E-3</v>
      </c>
      <c r="E502">
        <v>-123560.19</v>
      </c>
      <c r="F502" t="s">
        <v>2</v>
      </c>
    </row>
    <row r="503" spans="1:6" x14ac:dyDescent="0.25">
      <c r="A503" t="s">
        <v>43</v>
      </c>
      <c r="B503" t="s">
        <v>44</v>
      </c>
      <c r="C503">
        <v>30967540</v>
      </c>
      <c r="D503">
        <v>0.28283399999999997</v>
      </c>
      <c r="E503">
        <v>-123560.19</v>
      </c>
      <c r="F503" t="s">
        <v>2</v>
      </c>
    </row>
    <row r="504" spans="1:6" x14ac:dyDescent="0.25">
      <c r="A504" t="s">
        <v>94</v>
      </c>
      <c r="B504" t="s">
        <v>95</v>
      </c>
      <c r="C504">
        <v>161774.21</v>
      </c>
      <c r="D504">
        <v>1.4779999999999999E-3</v>
      </c>
      <c r="E504">
        <v>161774.21</v>
      </c>
      <c r="F504" t="s">
        <v>2</v>
      </c>
    </row>
    <row r="505" spans="1:6" x14ac:dyDescent="0.25">
      <c r="A505" t="s">
        <v>96</v>
      </c>
      <c r="B505" t="s">
        <v>97</v>
      </c>
      <c r="C505">
        <v>-7789400</v>
      </c>
      <c r="D505">
        <v>-7.1141999999999997E-2</v>
      </c>
      <c r="E505">
        <v>161774.21</v>
      </c>
      <c r="F505" t="s">
        <v>2</v>
      </c>
    </row>
    <row r="506" spans="1:6" x14ac:dyDescent="0.25">
      <c r="A506" t="s">
        <v>102</v>
      </c>
      <c r="B506" t="s">
        <v>103</v>
      </c>
      <c r="C506">
        <v>844025.23</v>
      </c>
      <c r="D506">
        <v>7.7089999999999997E-3</v>
      </c>
      <c r="E506">
        <v>844025.23</v>
      </c>
      <c r="F506" t="s">
        <v>2</v>
      </c>
    </row>
    <row r="507" spans="1:6" x14ac:dyDescent="0.25">
      <c r="A507" t="s">
        <v>104</v>
      </c>
      <c r="B507" t="s">
        <v>105</v>
      </c>
      <c r="C507">
        <v>-15376570</v>
      </c>
      <c r="D507">
        <v>-0.14043800000000001</v>
      </c>
      <c r="E507">
        <v>844025.23</v>
      </c>
      <c r="F507" t="s">
        <v>2</v>
      </c>
    </row>
    <row r="508" spans="1:6" x14ac:dyDescent="0.25">
      <c r="A508" t="s">
        <v>49</v>
      </c>
      <c r="B508" t="s">
        <v>50</v>
      </c>
      <c r="C508">
        <v>-172440</v>
      </c>
      <c r="D508">
        <v>-1.575E-3</v>
      </c>
      <c r="E508">
        <v>-172440</v>
      </c>
      <c r="F508" t="s">
        <v>2</v>
      </c>
    </row>
    <row r="509" spans="1:6" x14ac:dyDescent="0.25">
      <c r="A509" t="s">
        <v>51</v>
      </c>
      <c r="B509" t="s">
        <v>52</v>
      </c>
      <c r="C509">
        <v>11290140</v>
      </c>
      <c r="D509">
        <v>0.103115</v>
      </c>
      <c r="E509">
        <v>-172440</v>
      </c>
      <c r="F509" t="s">
        <v>2</v>
      </c>
    </row>
    <row r="510" spans="1:6" x14ac:dyDescent="0.25">
      <c r="A510" t="s">
        <v>53</v>
      </c>
      <c r="B510" t="s">
        <v>54</v>
      </c>
      <c r="C510">
        <v>-219478.39999999999</v>
      </c>
      <c r="D510">
        <v>-2.0049999999999998E-3</v>
      </c>
      <c r="E510">
        <v>-219478.39999999999</v>
      </c>
      <c r="F510" t="s">
        <v>2</v>
      </c>
    </row>
    <row r="511" spans="1:6" x14ac:dyDescent="0.25">
      <c r="A511" t="s">
        <v>55</v>
      </c>
      <c r="B511" t="s">
        <v>56</v>
      </c>
      <c r="C511">
        <v>-13352640</v>
      </c>
      <c r="D511">
        <v>-0.12195300000000001</v>
      </c>
      <c r="E511">
        <v>-219478.39999999999</v>
      </c>
      <c r="F511" t="s">
        <v>2</v>
      </c>
    </row>
    <row r="512" spans="1:6" x14ac:dyDescent="0.25">
      <c r="A512" t="s">
        <v>127</v>
      </c>
      <c r="B512" t="s">
        <v>128</v>
      </c>
      <c r="C512">
        <v>339340</v>
      </c>
      <c r="D512">
        <v>3.0990000000000002E-3</v>
      </c>
      <c r="E512">
        <v>-43058.51</v>
      </c>
      <c r="F512" t="s">
        <v>2</v>
      </c>
    </row>
    <row r="513" spans="1:6" x14ac:dyDescent="0.25">
      <c r="A513" t="s">
        <v>129</v>
      </c>
      <c r="B513" t="s">
        <v>130</v>
      </c>
      <c r="C513">
        <v>339340</v>
      </c>
      <c r="D513">
        <v>3.0990000000000002E-3</v>
      </c>
      <c r="E513">
        <v>-43058.51</v>
      </c>
      <c r="F513" t="s">
        <v>2</v>
      </c>
    </row>
    <row r="514" spans="1:6" x14ac:dyDescent="0.25">
      <c r="A514" t="s">
        <v>75</v>
      </c>
      <c r="B514" t="s">
        <v>76</v>
      </c>
      <c r="C514">
        <v>131175</v>
      </c>
      <c r="D514">
        <v>1.1980000000000001E-3</v>
      </c>
      <c r="E514">
        <v>131175</v>
      </c>
      <c r="F514" t="s">
        <v>2</v>
      </c>
    </row>
    <row r="515" spans="1:6" x14ac:dyDescent="0.25">
      <c r="A515" t="s">
        <v>77</v>
      </c>
      <c r="B515" t="s">
        <v>78</v>
      </c>
      <c r="C515">
        <v>-5437900</v>
      </c>
      <c r="D515">
        <v>-4.9666000000000002E-2</v>
      </c>
      <c r="E515">
        <v>131175</v>
      </c>
      <c r="F515" t="s">
        <v>2</v>
      </c>
    </row>
    <row r="516" spans="1:6" x14ac:dyDescent="0.25">
      <c r="A516" t="s">
        <v>106</v>
      </c>
      <c r="B516" t="s">
        <v>107</v>
      </c>
      <c r="C516">
        <v>-32117.18</v>
      </c>
      <c r="D516">
        <v>-2.9300000000000002E-4</v>
      </c>
      <c r="E516">
        <v>-32117.18</v>
      </c>
      <c r="F516" t="s">
        <v>2</v>
      </c>
    </row>
    <row r="517" spans="1:6" x14ac:dyDescent="0.25">
      <c r="A517" t="s">
        <v>108</v>
      </c>
      <c r="B517" t="s">
        <v>109</v>
      </c>
      <c r="C517">
        <v>-32117.18</v>
      </c>
      <c r="D517">
        <v>-2.9300000000000002E-4</v>
      </c>
      <c r="E517">
        <v>-32117.18</v>
      </c>
      <c r="F517" t="s">
        <v>2</v>
      </c>
    </row>
    <row r="518" spans="1:6" x14ac:dyDescent="0.25">
      <c r="A518" t="s">
        <v>79</v>
      </c>
      <c r="B518" t="s">
        <v>2</v>
      </c>
      <c r="C518" t="s">
        <v>2</v>
      </c>
      <c r="D518">
        <v>0.29983100000000001</v>
      </c>
      <c r="E518" t="s">
        <v>2</v>
      </c>
      <c r="F518" t="s">
        <v>2</v>
      </c>
    </row>
    <row r="519" spans="1:6" x14ac:dyDescent="0.25">
      <c r="A519" t="s">
        <v>61</v>
      </c>
      <c r="B519" t="s">
        <v>2</v>
      </c>
      <c r="C519" t="s">
        <v>2</v>
      </c>
      <c r="D519">
        <v>0.30960199999999999</v>
      </c>
      <c r="E519" t="s">
        <v>2</v>
      </c>
      <c r="F519" t="s">
        <v>2</v>
      </c>
    </row>
    <row r="520" spans="1:6" x14ac:dyDescent="0.25">
      <c r="A520" t="s">
        <v>62</v>
      </c>
      <c r="B520" t="s">
        <v>2</v>
      </c>
      <c r="C520" t="s">
        <v>2</v>
      </c>
      <c r="D520">
        <v>1.45608</v>
      </c>
      <c r="E520" t="s">
        <v>2</v>
      </c>
      <c r="F520" t="s">
        <v>2</v>
      </c>
    </row>
    <row r="521" spans="1:6" x14ac:dyDescent="0.25">
      <c r="A521" t="s">
        <v>80</v>
      </c>
      <c r="B521" t="s">
        <v>2</v>
      </c>
      <c r="C521" t="s">
        <v>2</v>
      </c>
      <c r="D521">
        <v>0.29983100000000001</v>
      </c>
      <c r="E521" t="s">
        <v>2</v>
      </c>
      <c r="F521" t="s">
        <v>2</v>
      </c>
    </row>
    <row r="522" spans="1:6" x14ac:dyDescent="0.25">
      <c r="A522" t="s">
        <v>63</v>
      </c>
      <c r="B522" t="s">
        <v>2</v>
      </c>
      <c r="C522" t="s">
        <v>2</v>
      </c>
      <c r="D522">
        <v>0.30960199999999999</v>
      </c>
      <c r="E522" t="s">
        <v>2</v>
      </c>
      <c r="F522" t="s">
        <v>2</v>
      </c>
    </row>
    <row r="523" spans="1:6" x14ac:dyDescent="0.25">
      <c r="A523" t="s">
        <v>64</v>
      </c>
      <c r="B523" t="s">
        <v>2</v>
      </c>
      <c r="C523" t="s">
        <v>2</v>
      </c>
      <c r="D523">
        <v>0.15243300000000001</v>
      </c>
      <c r="E523" t="s">
        <v>2</v>
      </c>
      <c r="F523" t="s">
        <v>2</v>
      </c>
    </row>
    <row r="524" spans="1:6" x14ac:dyDescent="0.25">
      <c r="A524" t="s">
        <v>65</v>
      </c>
      <c r="B524" t="s">
        <v>2</v>
      </c>
      <c r="C524" t="s">
        <v>2</v>
      </c>
      <c r="D524">
        <v>9.6564999999999998E-2</v>
      </c>
      <c r="E524" t="s">
        <v>2</v>
      </c>
      <c r="F524" t="s">
        <v>2</v>
      </c>
    </row>
    <row r="525" spans="1:6" x14ac:dyDescent="0.25">
      <c r="A525" t="s">
        <v>66</v>
      </c>
      <c r="B525" t="s">
        <v>2</v>
      </c>
      <c r="C525" t="s">
        <v>2</v>
      </c>
      <c r="D525">
        <v>3.0336999999999999E-2</v>
      </c>
      <c r="E525" t="s">
        <v>2</v>
      </c>
      <c r="F525" t="s">
        <v>2</v>
      </c>
    </row>
    <row r="526" spans="1:6" x14ac:dyDescent="0.25">
      <c r="A526" t="s">
        <v>81</v>
      </c>
      <c r="B526" t="s">
        <v>2</v>
      </c>
      <c r="C526" t="s">
        <v>2</v>
      </c>
      <c r="D526">
        <v>9.2002E-2</v>
      </c>
      <c r="E526" t="s">
        <v>2</v>
      </c>
      <c r="F526" t="s">
        <v>2</v>
      </c>
    </row>
    <row r="527" spans="1:6" x14ac:dyDescent="0.25">
      <c r="A527" t="s">
        <v>2</v>
      </c>
      <c r="B527" t="s">
        <v>2</v>
      </c>
      <c r="C527" t="s">
        <v>2</v>
      </c>
      <c r="D527" t="s">
        <v>2</v>
      </c>
      <c r="E527" t="s">
        <v>2</v>
      </c>
      <c r="F527" t="s">
        <v>2</v>
      </c>
    </row>
    <row r="528" spans="1:6" x14ac:dyDescent="0.25">
      <c r="A528" t="s">
        <v>131</v>
      </c>
      <c r="B528" t="s">
        <v>171</v>
      </c>
      <c r="C528" t="s">
        <v>132</v>
      </c>
      <c r="D528" t="s">
        <v>2</v>
      </c>
      <c r="E528" t="s">
        <v>2</v>
      </c>
      <c r="F528" t="s">
        <v>2</v>
      </c>
    </row>
    <row r="529" spans="1:6" x14ac:dyDescent="0.25">
      <c r="A529" t="s">
        <v>3</v>
      </c>
      <c r="B529" t="s">
        <v>4</v>
      </c>
      <c r="C529" t="s">
        <v>5</v>
      </c>
      <c r="D529" t="s">
        <v>6</v>
      </c>
      <c r="E529" t="s">
        <v>7</v>
      </c>
      <c r="F529" t="s">
        <v>8</v>
      </c>
    </row>
    <row r="530" spans="1:6" x14ac:dyDescent="0.25">
      <c r="A530" t="s">
        <v>9</v>
      </c>
      <c r="B530" t="s">
        <v>10</v>
      </c>
      <c r="C530">
        <v>100163.98</v>
      </c>
      <c r="D530">
        <v>8.9400000000000005E-4</v>
      </c>
      <c r="E530" t="s">
        <v>2</v>
      </c>
      <c r="F530" t="s">
        <v>2</v>
      </c>
    </row>
    <row r="531" spans="1:6" x14ac:dyDescent="0.25">
      <c r="A531" t="s">
        <v>11</v>
      </c>
      <c r="B531" t="s">
        <v>12</v>
      </c>
      <c r="C531">
        <v>100153.31</v>
      </c>
      <c r="D531">
        <v>8.9400000000000005E-4</v>
      </c>
      <c r="E531" t="s">
        <v>2</v>
      </c>
      <c r="F531" t="s">
        <v>2</v>
      </c>
    </row>
    <row r="532" spans="1:6" x14ac:dyDescent="0.25">
      <c r="A532" t="s">
        <v>13</v>
      </c>
      <c r="B532" t="s">
        <v>14</v>
      </c>
      <c r="C532">
        <v>10.67</v>
      </c>
      <c r="D532">
        <v>0</v>
      </c>
      <c r="E532" t="s">
        <v>2</v>
      </c>
      <c r="F532" t="s">
        <v>2</v>
      </c>
    </row>
    <row r="533" spans="1:6" x14ac:dyDescent="0.25">
      <c r="A533" t="s">
        <v>15</v>
      </c>
      <c r="B533" t="s">
        <v>16</v>
      </c>
      <c r="C533">
        <v>22963104.539999999</v>
      </c>
      <c r="D533">
        <v>0.20502999999999999</v>
      </c>
      <c r="E533" t="s">
        <v>2</v>
      </c>
      <c r="F533" t="s">
        <v>2</v>
      </c>
    </row>
    <row r="534" spans="1:6" x14ac:dyDescent="0.25">
      <c r="A534" t="s">
        <v>123</v>
      </c>
      <c r="B534" t="s">
        <v>124</v>
      </c>
      <c r="C534">
        <v>7.81</v>
      </c>
      <c r="D534">
        <v>0</v>
      </c>
      <c r="E534" t="s">
        <v>2</v>
      </c>
      <c r="F534" t="s">
        <v>2</v>
      </c>
    </row>
    <row r="535" spans="1:6" x14ac:dyDescent="0.25">
      <c r="A535" t="s">
        <v>17</v>
      </c>
      <c r="B535" t="s">
        <v>18</v>
      </c>
      <c r="C535">
        <v>15193057.130000001</v>
      </c>
      <c r="D535">
        <v>0.135654</v>
      </c>
      <c r="E535" t="s">
        <v>2</v>
      </c>
      <c r="F535" t="s">
        <v>2</v>
      </c>
    </row>
    <row r="536" spans="1:6" x14ac:dyDescent="0.25">
      <c r="A536" t="s">
        <v>19</v>
      </c>
      <c r="B536" t="s">
        <v>20</v>
      </c>
      <c r="C536">
        <v>4842759.38</v>
      </c>
      <c r="D536">
        <v>4.3239E-2</v>
      </c>
      <c r="E536" t="s">
        <v>2</v>
      </c>
      <c r="F536" t="s">
        <v>2</v>
      </c>
    </row>
    <row r="537" spans="1:6" x14ac:dyDescent="0.25">
      <c r="A537" t="s">
        <v>21</v>
      </c>
      <c r="B537" t="s">
        <v>22</v>
      </c>
      <c r="C537">
        <v>242.13</v>
      </c>
      <c r="D537">
        <v>1.9999999999999999E-6</v>
      </c>
      <c r="E537" t="s">
        <v>2</v>
      </c>
      <c r="F537" t="s">
        <v>2</v>
      </c>
    </row>
    <row r="538" spans="1:6" x14ac:dyDescent="0.25">
      <c r="A538" t="s">
        <v>23</v>
      </c>
      <c r="B538" t="s">
        <v>24</v>
      </c>
      <c r="C538">
        <v>47086445.380000003</v>
      </c>
      <c r="D538">
        <v>0.42041899999999999</v>
      </c>
      <c r="E538">
        <v>-492872.89</v>
      </c>
      <c r="F538" t="s">
        <v>2</v>
      </c>
    </row>
    <row r="539" spans="1:6" x14ac:dyDescent="0.25">
      <c r="A539" t="s">
        <v>25</v>
      </c>
      <c r="B539" t="s">
        <v>26</v>
      </c>
      <c r="C539">
        <v>18519620</v>
      </c>
      <c r="D539">
        <v>0.165355</v>
      </c>
      <c r="E539">
        <v>-23639.62</v>
      </c>
      <c r="F539" t="s">
        <v>2</v>
      </c>
    </row>
    <row r="540" spans="1:6" x14ac:dyDescent="0.25">
      <c r="A540" t="s">
        <v>27</v>
      </c>
      <c r="B540" t="s">
        <v>28</v>
      </c>
      <c r="C540">
        <v>10047924</v>
      </c>
      <c r="D540">
        <v>8.9715000000000003E-2</v>
      </c>
      <c r="E540">
        <v>-298476.34999999998</v>
      </c>
      <c r="F540" t="s">
        <v>2</v>
      </c>
    </row>
    <row r="541" spans="1:6" x14ac:dyDescent="0.25">
      <c r="A541" t="s">
        <v>29</v>
      </c>
      <c r="B541" t="s">
        <v>30</v>
      </c>
      <c r="C541">
        <v>4086378.8</v>
      </c>
      <c r="D541">
        <v>3.6485999999999998E-2</v>
      </c>
      <c r="E541">
        <v>120870.96</v>
      </c>
      <c r="F541" t="s">
        <v>2</v>
      </c>
    </row>
    <row r="542" spans="1:6" x14ac:dyDescent="0.25">
      <c r="A542" t="s">
        <v>69</v>
      </c>
      <c r="B542" t="s">
        <v>70</v>
      </c>
      <c r="C542">
        <v>14000904.58</v>
      </c>
      <c r="D542">
        <v>0.12500900000000001</v>
      </c>
      <c r="E542">
        <v>-268088.96999999997</v>
      </c>
      <c r="F542" t="s">
        <v>2</v>
      </c>
    </row>
    <row r="543" spans="1:6" x14ac:dyDescent="0.25">
      <c r="A543" t="s">
        <v>92</v>
      </c>
      <c r="B543" t="s">
        <v>93</v>
      </c>
      <c r="C543">
        <v>431618</v>
      </c>
      <c r="D543">
        <v>3.8539999999999998E-3</v>
      </c>
      <c r="E543">
        <v>-23538.91</v>
      </c>
      <c r="F543" t="s">
        <v>2</v>
      </c>
    </row>
    <row r="544" spans="1:6" x14ac:dyDescent="0.25">
      <c r="A544" t="s">
        <v>71</v>
      </c>
      <c r="B544" t="s">
        <v>72</v>
      </c>
      <c r="C544">
        <v>26688725.629999999</v>
      </c>
      <c r="D544">
        <v>0.23829500000000001</v>
      </c>
      <c r="E544">
        <v>31742.14</v>
      </c>
      <c r="F544" t="s">
        <v>2</v>
      </c>
    </row>
    <row r="545" spans="1:6" x14ac:dyDescent="0.25">
      <c r="A545" t="s">
        <v>84</v>
      </c>
      <c r="B545" t="s">
        <v>85</v>
      </c>
      <c r="C545">
        <v>1491727.2</v>
      </c>
      <c r="D545">
        <v>1.3318999999999999E-2</v>
      </c>
      <c r="E545">
        <v>30326.400000000001</v>
      </c>
      <c r="F545" t="s">
        <v>2</v>
      </c>
    </row>
    <row r="546" spans="1:6" x14ac:dyDescent="0.25">
      <c r="A546" t="s">
        <v>73</v>
      </c>
      <c r="B546" t="s">
        <v>74</v>
      </c>
      <c r="C546">
        <v>25196998.43</v>
      </c>
      <c r="D546">
        <v>0.22497500000000001</v>
      </c>
      <c r="E546">
        <v>1415.74</v>
      </c>
      <c r="F546" t="s">
        <v>2</v>
      </c>
    </row>
    <row r="547" spans="1:6" x14ac:dyDescent="0.25">
      <c r="A547" t="s">
        <v>35</v>
      </c>
      <c r="B547" t="s">
        <v>36</v>
      </c>
      <c r="C547">
        <v>3353977.23</v>
      </c>
      <c r="D547">
        <v>2.9947000000000001E-2</v>
      </c>
      <c r="E547">
        <v>3016517.76</v>
      </c>
      <c r="F547" t="s">
        <v>2</v>
      </c>
    </row>
    <row r="548" spans="1:6" x14ac:dyDescent="0.25">
      <c r="A548" t="s">
        <v>37</v>
      </c>
      <c r="B548" t="s">
        <v>38</v>
      </c>
      <c r="C548">
        <v>2822700</v>
      </c>
      <c r="D548">
        <v>2.5203E-2</v>
      </c>
      <c r="E548">
        <v>2822700</v>
      </c>
      <c r="F548" t="s">
        <v>2</v>
      </c>
    </row>
    <row r="549" spans="1:6" x14ac:dyDescent="0.25">
      <c r="A549" t="s">
        <v>39</v>
      </c>
      <c r="B549" t="s">
        <v>40</v>
      </c>
      <c r="C549">
        <v>185538650</v>
      </c>
      <c r="D549">
        <v>1.656612</v>
      </c>
      <c r="E549">
        <v>2822700</v>
      </c>
      <c r="F549" t="s">
        <v>2</v>
      </c>
    </row>
    <row r="550" spans="1:6" x14ac:dyDescent="0.25">
      <c r="A550" t="s">
        <v>41</v>
      </c>
      <c r="B550" t="s">
        <v>42</v>
      </c>
      <c r="C550">
        <v>-366090</v>
      </c>
      <c r="D550">
        <v>-3.2690000000000002E-3</v>
      </c>
      <c r="E550">
        <v>-366090</v>
      </c>
      <c r="F550" t="s">
        <v>2</v>
      </c>
    </row>
    <row r="551" spans="1:6" x14ac:dyDescent="0.25">
      <c r="A551" t="s">
        <v>43</v>
      </c>
      <c r="B551" t="s">
        <v>44</v>
      </c>
      <c r="C551">
        <v>20961640</v>
      </c>
      <c r="D551">
        <v>0.18715899999999999</v>
      </c>
      <c r="E551">
        <v>-366090</v>
      </c>
      <c r="F551" t="s">
        <v>2</v>
      </c>
    </row>
    <row r="552" spans="1:6" x14ac:dyDescent="0.25">
      <c r="A552" t="s">
        <v>94</v>
      </c>
      <c r="B552" t="s">
        <v>95</v>
      </c>
      <c r="C552">
        <v>112500</v>
      </c>
      <c r="D552">
        <v>1.0039999999999999E-3</v>
      </c>
      <c r="E552">
        <v>112500</v>
      </c>
      <c r="F552" t="s">
        <v>2</v>
      </c>
    </row>
    <row r="553" spans="1:6" x14ac:dyDescent="0.25">
      <c r="A553" t="s">
        <v>96</v>
      </c>
      <c r="B553" t="s">
        <v>97</v>
      </c>
      <c r="C553">
        <v>-3958000</v>
      </c>
      <c r="D553">
        <v>-3.5340000000000003E-2</v>
      </c>
      <c r="E553">
        <v>112500</v>
      </c>
      <c r="F553" t="s">
        <v>2</v>
      </c>
    </row>
    <row r="554" spans="1:6" x14ac:dyDescent="0.25">
      <c r="A554" t="s">
        <v>45</v>
      </c>
      <c r="B554" t="s">
        <v>46</v>
      </c>
      <c r="C554">
        <v>-17910</v>
      </c>
      <c r="D554">
        <v>-1.6000000000000001E-4</v>
      </c>
      <c r="E554">
        <v>-17910</v>
      </c>
      <c r="F554" t="s">
        <v>2</v>
      </c>
    </row>
    <row r="555" spans="1:6" x14ac:dyDescent="0.25">
      <c r="A555" t="s">
        <v>47</v>
      </c>
      <c r="B555" t="s">
        <v>48</v>
      </c>
      <c r="C555">
        <v>1397280</v>
      </c>
      <c r="D555">
        <v>1.2475999999999999E-2</v>
      </c>
      <c r="E555">
        <v>-17910</v>
      </c>
      <c r="F555" t="s">
        <v>2</v>
      </c>
    </row>
    <row r="556" spans="1:6" x14ac:dyDescent="0.25">
      <c r="A556" t="s">
        <v>102</v>
      </c>
      <c r="B556" t="s">
        <v>103</v>
      </c>
      <c r="C556">
        <v>167960</v>
      </c>
      <c r="D556">
        <v>1.5E-3</v>
      </c>
      <c r="E556">
        <v>167960</v>
      </c>
      <c r="F556" t="s">
        <v>2</v>
      </c>
    </row>
    <row r="557" spans="1:6" x14ac:dyDescent="0.25">
      <c r="A557" t="s">
        <v>104</v>
      </c>
      <c r="B557" t="s">
        <v>105</v>
      </c>
      <c r="C557">
        <v>-11358680</v>
      </c>
      <c r="D557">
        <v>-0.10141799999999999</v>
      </c>
      <c r="E557">
        <v>167960</v>
      </c>
      <c r="F557" t="s">
        <v>2</v>
      </c>
    </row>
    <row r="558" spans="1:6" x14ac:dyDescent="0.25">
      <c r="A558" t="s">
        <v>49</v>
      </c>
      <c r="B558" t="s">
        <v>50</v>
      </c>
      <c r="C558">
        <v>-147590</v>
      </c>
      <c r="D558">
        <v>-1.3179999999999999E-3</v>
      </c>
      <c r="E558">
        <v>-147590</v>
      </c>
      <c r="F558" t="s">
        <v>2</v>
      </c>
    </row>
    <row r="559" spans="1:6" x14ac:dyDescent="0.25">
      <c r="A559" t="s">
        <v>51</v>
      </c>
      <c r="B559" t="s">
        <v>52</v>
      </c>
      <c r="C559">
        <v>14492120</v>
      </c>
      <c r="D559">
        <v>0.12939500000000001</v>
      </c>
      <c r="E559">
        <v>-147590</v>
      </c>
      <c r="F559" t="s">
        <v>2</v>
      </c>
    </row>
    <row r="560" spans="1:6" x14ac:dyDescent="0.25">
      <c r="A560" t="s">
        <v>53</v>
      </c>
      <c r="B560" t="s">
        <v>54</v>
      </c>
      <c r="C560">
        <v>-21267.55</v>
      </c>
      <c r="D560">
        <v>-1.9000000000000001E-4</v>
      </c>
      <c r="E560">
        <v>-21267.55</v>
      </c>
      <c r="F560" t="s">
        <v>2</v>
      </c>
    </row>
    <row r="561" spans="1:6" x14ac:dyDescent="0.25">
      <c r="A561" t="s">
        <v>55</v>
      </c>
      <c r="B561" t="s">
        <v>56</v>
      </c>
      <c r="C561">
        <v>-17016920</v>
      </c>
      <c r="D561">
        <v>-0.15193799999999999</v>
      </c>
      <c r="E561">
        <v>-21267.55</v>
      </c>
      <c r="F561" t="s">
        <v>2</v>
      </c>
    </row>
    <row r="562" spans="1:6" x14ac:dyDescent="0.25">
      <c r="A562" t="s">
        <v>127</v>
      </c>
      <c r="B562" t="s">
        <v>128</v>
      </c>
      <c r="C562">
        <v>447744</v>
      </c>
      <c r="D562">
        <v>3.9979999999999998E-3</v>
      </c>
      <c r="E562">
        <v>110284.53</v>
      </c>
      <c r="F562" t="s">
        <v>2</v>
      </c>
    </row>
    <row r="563" spans="1:6" x14ac:dyDescent="0.25">
      <c r="A563" t="s">
        <v>129</v>
      </c>
      <c r="B563" t="s">
        <v>130</v>
      </c>
      <c r="C563">
        <v>447744</v>
      </c>
      <c r="D563">
        <v>3.9979999999999998E-3</v>
      </c>
      <c r="E563">
        <v>110284.53</v>
      </c>
      <c r="F563" t="s">
        <v>2</v>
      </c>
    </row>
    <row r="564" spans="1:6" x14ac:dyDescent="0.25">
      <c r="A564" t="s">
        <v>75</v>
      </c>
      <c r="B564" t="s">
        <v>76</v>
      </c>
      <c r="C564">
        <v>337325</v>
      </c>
      <c r="D564">
        <v>3.0119999999999999E-3</v>
      </c>
      <c r="E564">
        <v>337325</v>
      </c>
      <c r="F564" t="s">
        <v>2</v>
      </c>
    </row>
    <row r="565" spans="1:6" x14ac:dyDescent="0.25">
      <c r="A565" t="s">
        <v>77</v>
      </c>
      <c r="B565" t="s">
        <v>78</v>
      </c>
      <c r="C565">
        <v>-5964300</v>
      </c>
      <c r="D565">
        <v>-5.3253000000000002E-2</v>
      </c>
      <c r="E565">
        <v>337325</v>
      </c>
      <c r="F565" t="s">
        <v>2</v>
      </c>
    </row>
    <row r="566" spans="1:6" x14ac:dyDescent="0.25">
      <c r="A566" t="s">
        <v>106</v>
      </c>
      <c r="B566" t="s">
        <v>107</v>
      </c>
      <c r="C566">
        <v>18605.78</v>
      </c>
      <c r="D566">
        <v>1.66E-4</v>
      </c>
      <c r="E566">
        <v>18605.78</v>
      </c>
      <c r="F566" t="s">
        <v>2</v>
      </c>
    </row>
    <row r="567" spans="1:6" x14ac:dyDescent="0.25">
      <c r="A567" t="s">
        <v>108</v>
      </c>
      <c r="B567" t="s">
        <v>109</v>
      </c>
      <c r="C567">
        <v>18605.78</v>
      </c>
      <c r="D567">
        <v>1.66E-4</v>
      </c>
      <c r="E567">
        <v>18605.78</v>
      </c>
      <c r="F567" t="s">
        <v>2</v>
      </c>
    </row>
    <row r="568" spans="1:6" x14ac:dyDescent="0.25">
      <c r="A568" t="s">
        <v>79</v>
      </c>
      <c r="B568" t="s">
        <v>2</v>
      </c>
      <c r="C568" t="s">
        <v>2</v>
      </c>
      <c r="D568">
        <v>0.23829500000000001</v>
      </c>
      <c r="E568" t="s">
        <v>2</v>
      </c>
      <c r="F568" t="s">
        <v>2</v>
      </c>
    </row>
    <row r="569" spans="1:6" x14ac:dyDescent="0.25">
      <c r="A569" t="s">
        <v>61</v>
      </c>
      <c r="B569" t="s">
        <v>2</v>
      </c>
      <c r="C569" t="s">
        <v>2</v>
      </c>
      <c r="D569">
        <v>0.42041899999999999</v>
      </c>
      <c r="E569" t="s">
        <v>2</v>
      </c>
      <c r="F569" t="s">
        <v>2</v>
      </c>
    </row>
    <row r="570" spans="1:6" x14ac:dyDescent="0.25">
      <c r="A570" t="s">
        <v>62</v>
      </c>
      <c r="B570" t="s">
        <v>2</v>
      </c>
      <c r="C570" t="s">
        <v>2</v>
      </c>
      <c r="D570">
        <v>1.6436930000000001</v>
      </c>
      <c r="E570" t="s">
        <v>2</v>
      </c>
      <c r="F570" t="s">
        <v>2</v>
      </c>
    </row>
    <row r="571" spans="1:6" x14ac:dyDescent="0.25">
      <c r="A571" t="s">
        <v>80</v>
      </c>
      <c r="B571" t="s">
        <v>2</v>
      </c>
      <c r="C571" t="s">
        <v>2</v>
      </c>
      <c r="D571">
        <v>0.23829500000000001</v>
      </c>
      <c r="E571" t="s">
        <v>2</v>
      </c>
      <c r="F571" t="s">
        <v>2</v>
      </c>
    </row>
    <row r="572" spans="1:6" x14ac:dyDescent="0.25">
      <c r="A572" t="s">
        <v>63</v>
      </c>
      <c r="B572" t="s">
        <v>2</v>
      </c>
      <c r="C572" t="s">
        <v>2</v>
      </c>
      <c r="D572">
        <v>0.42041899999999999</v>
      </c>
      <c r="E572" t="s">
        <v>2</v>
      </c>
      <c r="F572" t="s">
        <v>2</v>
      </c>
    </row>
    <row r="573" spans="1:6" x14ac:dyDescent="0.25">
      <c r="A573" t="s">
        <v>64</v>
      </c>
      <c r="B573" t="s">
        <v>2</v>
      </c>
      <c r="C573" t="s">
        <v>2</v>
      </c>
      <c r="D573">
        <v>0.169209</v>
      </c>
      <c r="E573" t="s">
        <v>2</v>
      </c>
      <c r="F573" t="s">
        <v>2</v>
      </c>
    </row>
    <row r="574" spans="1:6" x14ac:dyDescent="0.25">
      <c r="A574" t="s">
        <v>65</v>
      </c>
      <c r="B574" t="s">
        <v>2</v>
      </c>
      <c r="C574" t="s">
        <v>2</v>
      </c>
      <c r="D574">
        <v>0.12620000000000001</v>
      </c>
      <c r="E574" t="s">
        <v>2</v>
      </c>
      <c r="F574" t="s">
        <v>2</v>
      </c>
    </row>
    <row r="575" spans="1:6" x14ac:dyDescent="0.25">
      <c r="A575" t="s">
        <v>66</v>
      </c>
      <c r="B575" t="s">
        <v>2</v>
      </c>
      <c r="C575" t="s">
        <v>2</v>
      </c>
      <c r="D575">
        <v>3.6485999999999998E-2</v>
      </c>
      <c r="E575" t="s">
        <v>2</v>
      </c>
      <c r="F575" t="s">
        <v>2</v>
      </c>
    </row>
    <row r="576" spans="1:6" x14ac:dyDescent="0.25">
      <c r="A576" t="s">
        <v>81</v>
      </c>
      <c r="B576" t="s">
        <v>2</v>
      </c>
      <c r="C576" t="s">
        <v>2</v>
      </c>
      <c r="D576">
        <v>8.4850999999999996E-2</v>
      </c>
      <c r="E576" t="s">
        <v>2</v>
      </c>
      <c r="F576" t="s">
        <v>2</v>
      </c>
    </row>
    <row r="577" spans="1:6" x14ac:dyDescent="0.25">
      <c r="A577" t="s">
        <v>2</v>
      </c>
      <c r="B577" t="s">
        <v>2</v>
      </c>
      <c r="C577" t="s">
        <v>2</v>
      </c>
      <c r="D577" t="s">
        <v>2</v>
      </c>
      <c r="E577" t="s">
        <v>2</v>
      </c>
      <c r="F577" t="s">
        <v>2</v>
      </c>
    </row>
    <row r="578" spans="1:6" x14ac:dyDescent="0.25">
      <c r="A578" t="s">
        <v>133</v>
      </c>
      <c r="B578" t="s">
        <v>172</v>
      </c>
      <c r="C578" t="s">
        <v>134</v>
      </c>
      <c r="D578" t="s">
        <v>2</v>
      </c>
      <c r="E578" t="s">
        <v>2</v>
      </c>
      <c r="F578" t="s">
        <v>2</v>
      </c>
    </row>
    <row r="579" spans="1:6" x14ac:dyDescent="0.25">
      <c r="A579" t="s">
        <v>3</v>
      </c>
      <c r="B579" t="s">
        <v>4</v>
      </c>
      <c r="C579" t="s">
        <v>5</v>
      </c>
      <c r="D579" t="s">
        <v>6</v>
      </c>
      <c r="E579" t="s">
        <v>7</v>
      </c>
      <c r="F579" t="s">
        <v>8</v>
      </c>
    </row>
    <row r="580" spans="1:6" x14ac:dyDescent="0.25">
      <c r="A580" t="s">
        <v>9</v>
      </c>
      <c r="B580" t="s">
        <v>10</v>
      </c>
      <c r="C580">
        <v>42214.7</v>
      </c>
      <c r="D580">
        <v>3.7800000000000003E-4</v>
      </c>
      <c r="E580" t="s">
        <v>2</v>
      </c>
      <c r="F580" t="s">
        <v>2</v>
      </c>
    </row>
    <row r="581" spans="1:6" x14ac:dyDescent="0.25">
      <c r="A581" t="s">
        <v>11</v>
      </c>
      <c r="B581" t="s">
        <v>12</v>
      </c>
      <c r="C581">
        <v>42172.58</v>
      </c>
      <c r="D581">
        <v>3.7800000000000003E-4</v>
      </c>
      <c r="E581" t="s">
        <v>2</v>
      </c>
      <c r="F581" t="s">
        <v>2</v>
      </c>
    </row>
    <row r="582" spans="1:6" x14ac:dyDescent="0.25">
      <c r="A582" t="s">
        <v>13</v>
      </c>
      <c r="B582" t="s">
        <v>14</v>
      </c>
      <c r="C582">
        <v>42.12</v>
      </c>
      <c r="D582">
        <v>0</v>
      </c>
      <c r="E582" t="s">
        <v>2</v>
      </c>
      <c r="F582" t="s">
        <v>2</v>
      </c>
    </row>
    <row r="583" spans="1:6" x14ac:dyDescent="0.25">
      <c r="A583" t="s">
        <v>15</v>
      </c>
      <c r="B583" t="s">
        <v>16</v>
      </c>
      <c r="C583">
        <v>13416001.26</v>
      </c>
      <c r="D583">
        <v>0.120111</v>
      </c>
      <c r="E583" t="s">
        <v>2</v>
      </c>
      <c r="F583" t="s">
        <v>2</v>
      </c>
    </row>
    <row r="584" spans="1:6" x14ac:dyDescent="0.25">
      <c r="A584" t="s">
        <v>123</v>
      </c>
      <c r="B584" t="s">
        <v>124</v>
      </c>
      <c r="C584">
        <v>71.05</v>
      </c>
      <c r="D584">
        <v>9.9999999999999995E-7</v>
      </c>
      <c r="E584" t="s">
        <v>2</v>
      </c>
      <c r="F584" t="s">
        <v>2</v>
      </c>
    </row>
    <row r="585" spans="1:6" x14ac:dyDescent="0.25">
      <c r="A585" t="s">
        <v>17</v>
      </c>
      <c r="B585" t="s">
        <v>18</v>
      </c>
      <c r="C585">
        <v>19473967.02</v>
      </c>
      <c r="D585">
        <v>0.174347</v>
      </c>
      <c r="E585" t="s">
        <v>2</v>
      </c>
      <c r="F585" t="s">
        <v>2</v>
      </c>
    </row>
    <row r="586" spans="1:6" x14ac:dyDescent="0.25">
      <c r="A586" t="s">
        <v>19</v>
      </c>
      <c r="B586" t="s">
        <v>20</v>
      </c>
      <c r="C586">
        <v>5033606.28</v>
      </c>
      <c r="D586">
        <v>4.5065000000000001E-2</v>
      </c>
      <c r="E586" t="s">
        <v>2</v>
      </c>
      <c r="F586" t="s">
        <v>2</v>
      </c>
    </row>
    <row r="587" spans="1:6" x14ac:dyDescent="0.25">
      <c r="A587" t="s">
        <v>21</v>
      </c>
      <c r="B587" t="s">
        <v>22</v>
      </c>
      <c r="C587">
        <v>1153.3</v>
      </c>
      <c r="D587">
        <v>1.0000000000000001E-5</v>
      </c>
      <c r="E587" t="s">
        <v>2</v>
      </c>
      <c r="F587" t="s">
        <v>2</v>
      </c>
    </row>
    <row r="588" spans="1:6" x14ac:dyDescent="0.25">
      <c r="A588" t="s">
        <v>23</v>
      </c>
      <c r="B588" t="s">
        <v>24</v>
      </c>
      <c r="C588">
        <v>46952525.409999996</v>
      </c>
      <c r="D588">
        <v>0.42035899999999998</v>
      </c>
      <c r="E588">
        <v>-994765.06</v>
      </c>
      <c r="F588" t="s">
        <v>2</v>
      </c>
    </row>
    <row r="589" spans="1:6" x14ac:dyDescent="0.25">
      <c r="A589" t="s">
        <v>25</v>
      </c>
      <c r="B589" t="s">
        <v>26</v>
      </c>
      <c r="C589">
        <v>18833763</v>
      </c>
      <c r="D589">
        <v>0.16861599999999999</v>
      </c>
      <c r="E589">
        <v>-217265.56</v>
      </c>
      <c r="F589" t="s">
        <v>2</v>
      </c>
    </row>
    <row r="590" spans="1:6" x14ac:dyDescent="0.25">
      <c r="A590" t="s">
        <v>27</v>
      </c>
      <c r="B590" t="s">
        <v>28</v>
      </c>
      <c r="C590">
        <v>10153411</v>
      </c>
      <c r="D590">
        <v>9.0901999999999997E-2</v>
      </c>
      <c r="E590">
        <v>-179533.14</v>
      </c>
      <c r="F590" t="s">
        <v>2</v>
      </c>
    </row>
    <row r="591" spans="1:6" x14ac:dyDescent="0.25">
      <c r="A591" t="s">
        <v>29</v>
      </c>
      <c r="B591" t="s">
        <v>30</v>
      </c>
      <c r="C591">
        <v>1967525.4</v>
      </c>
      <c r="D591">
        <v>1.7614999999999999E-2</v>
      </c>
      <c r="E591">
        <v>-1959.66</v>
      </c>
      <c r="F591" t="s">
        <v>2</v>
      </c>
    </row>
    <row r="592" spans="1:6" x14ac:dyDescent="0.25">
      <c r="A592" t="s">
        <v>69</v>
      </c>
      <c r="B592" t="s">
        <v>70</v>
      </c>
      <c r="C592">
        <v>15330802.01</v>
      </c>
      <c r="D592">
        <v>0.13725399999999999</v>
      </c>
      <c r="E592">
        <v>-590081.94999999995</v>
      </c>
      <c r="F592" t="s">
        <v>2</v>
      </c>
    </row>
    <row r="593" spans="1:6" x14ac:dyDescent="0.25">
      <c r="A593" t="s">
        <v>92</v>
      </c>
      <c r="B593" t="s">
        <v>93</v>
      </c>
      <c r="C593">
        <v>667024</v>
      </c>
      <c r="D593">
        <v>5.9719999999999999E-3</v>
      </c>
      <c r="E593">
        <v>-5924.75</v>
      </c>
      <c r="F593" t="s">
        <v>2</v>
      </c>
    </row>
    <row r="594" spans="1:6" x14ac:dyDescent="0.25">
      <c r="A594" t="s">
        <v>71</v>
      </c>
      <c r="B594" t="s">
        <v>72</v>
      </c>
      <c r="C594">
        <v>31675574.120000001</v>
      </c>
      <c r="D594">
        <v>0.28358699999999998</v>
      </c>
      <c r="E594">
        <v>-2430.23</v>
      </c>
      <c r="F594" t="s">
        <v>2</v>
      </c>
    </row>
    <row r="595" spans="1:6" x14ac:dyDescent="0.25">
      <c r="A595" t="s">
        <v>84</v>
      </c>
      <c r="B595" t="s">
        <v>85</v>
      </c>
      <c r="C595">
        <v>1438684</v>
      </c>
      <c r="D595">
        <v>1.2880000000000001E-2</v>
      </c>
      <c r="E595">
        <v>-14448.19</v>
      </c>
      <c r="F595" t="s">
        <v>2</v>
      </c>
    </row>
    <row r="596" spans="1:6" x14ac:dyDescent="0.25">
      <c r="A596" t="s">
        <v>73</v>
      </c>
      <c r="B596" t="s">
        <v>74</v>
      </c>
      <c r="C596">
        <v>30236890.120000001</v>
      </c>
      <c r="D596">
        <v>0.270706</v>
      </c>
      <c r="E596">
        <v>12017.96</v>
      </c>
      <c r="F596" t="s">
        <v>2</v>
      </c>
    </row>
    <row r="597" spans="1:6" x14ac:dyDescent="0.25">
      <c r="A597" t="s">
        <v>35</v>
      </c>
      <c r="B597" t="s">
        <v>36</v>
      </c>
      <c r="C597">
        <v>4009534.11</v>
      </c>
      <c r="D597">
        <v>3.5896999999999998E-2</v>
      </c>
      <c r="E597">
        <v>3532696.53</v>
      </c>
      <c r="F597" t="s">
        <v>2</v>
      </c>
    </row>
    <row r="598" spans="1:6" x14ac:dyDescent="0.25">
      <c r="A598" t="s">
        <v>37</v>
      </c>
      <c r="B598" t="s">
        <v>38</v>
      </c>
      <c r="C598">
        <v>3479400</v>
      </c>
      <c r="D598">
        <v>3.1151000000000002E-2</v>
      </c>
      <c r="E598">
        <v>3479400</v>
      </c>
      <c r="F598" t="s">
        <v>2</v>
      </c>
    </row>
    <row r="599" spans="1:6" x14ac:dyDescent="0.25">
      <c r="A599" t="s">
        <v>39</v>
      </c>
      <c r="B599" t="s">
        <v>40</v>
      </c>
      <c r="C599">
        <v>186195350</v>
      </c>
      <c r="D599">
        <v>1.6669780000000001</v>
      </c>
      <c r="E599">
        <v>3479400</v>
      </c>
      <c r="F599" t="s">
        <v>2</v>
      </c>
    </row>
    <row r="600" spans="1:6" x14ac:dyDescent="0.25">
      <c r="A600" t="s">
        <v>41</v>
      </c>
      <c r="B600" t="s">
        <v>42</v>
      </c>
      <c r="C600">
        <v>412131.67</v>
      </c>
      <c r="D600">
        <v>3.6900000000000001E-3</v>
      </c>
      <c r="E600">
        <v>412131.67</v>
      </c>
      <c r="F600" t="s">
        <v>2</v>
      </c>
    </row>
    <row r="601" spans="1:6" x14ac:dyDescent="0.25">
      <c r="A601" t="s">
        <v>43</v>
      </c>
      <c r="B601" t="s">
        <v>44</v>
      </c>
      <c r="C601">
        <v>39706920</v>
      </c>
      <c r="D601">
        <v>0.35548999999999997</v>
      </c>
      <c r="E601">
        <v>412131.67</v>
      </c>
      <c r="F601" t="s">
        <v>2</v>
      </c>
    </row>
    <row r="602" spans="1:6" x14ac:dyDescent="0.25">
      <c r="A602" t="s">
        <v>94</v>
      </c>
      <c r="B602" t="s">
        <v>95</v>
      </c>
      <c r="C602">
        <v>-95920</v>
      </c>
      <c r="D602">
        <v>-8.5899999999999995E-4</v>
      </c>
      <c r="E602">
        <v>-95920</v>
      </c>
      <c r="F602" t="s">
        <v>2</v>
      </c>
    </row>
    <row r="603" spans="1:6" x14ac:dyDescent="0.25">
      <c r="A603" t="s">
        <v>96</v>
      </c>
      <c r="B603" t="s">
        <v>97</v>
      </c>
      <c r="C603">
        <v>-6044040</v>
      </c>
      <c r="D603">
        <v>-5.4110999999999999E-2</v>
      </c>
      <c r="E603">
        <v>-95920</v>
      </c>
      <c r="F603" t="s">
        <v>2</v>
      </c>
    </row>
    <row r="604" spans="1:6" x14ac:dyDescent="0.25">
      <c r="A604" t="s">
        <v>45</v>
      </c>
      <c r="B604" t="s">
        <v>46</v>
      </c>
      <c r="C604">
        <v>-13240</v>
      </c>
      <c r="D604">
        <v>-1.1900000000000001E-4</v>
      </c>
      <c r="E604">
        <v>-13240</v>
      </c>
      <c r="F604" t="s">
        <v>2</v>
      </c>
    </row>
    <row r="605" spans="1:6" x14ac:dyDescent="0.25">
      <c r="A605" t="s">
        <v>47</v>
      </c>
      <c r="B605" t="s">
        <v>48</v>
      </c>
      <c r="C605">
        <v>2741560</v>
      </c>
      <c r="D605">
        <v>2.4545000000000001E-2</v>
      </c>
      <c r="E605">
        <v>-13240</v>
      </c>
      <c r="F605" t="s">
        <v>2</v>
      </c>
    </row>
    <row r="606" spans="1:6" x14ac:dyDescent="0.25">
      <c r="A606" t="s">
        <v>102</v>
      </c>
      <c r="B606" t="s">
        <v>103</v>
      </c>
      <c r="C606">
        <v>22551.58</v>
      </c>
      <c r="D606">
        <v>2.02E-4</v>
      </c>
      <c r="E606">
        <v>22551.58</v>
      </c>
      <c r="F606" t="s">
        <v>2</v>
      </c>
    </row>
    <row r="607" spans="1:6" x14ac:dyDescent="0.25">
      <c r="A607" t="s">
        <v>104</v>
      </c>
      <c r="B607" t="s">
        <v>105</v>
      </c>
      <c r="C607">
        <v>-11491600</v>
      </c>
      <c r="D607">
        <v>-0.102883</v>
      </c>
      <c r="E607">
        <v>22551.58</v>
      </c>
      <c r="F607" t="s">
        <v>2</v>
      </c>
    </row>
    <row r="608" spans="1:6" x14ac:dyDescent="0.25">
      <c r="A608" t="s">
        <v>49</v>
      </c>
      <c r="B608" t="s">
        <v>50</v>
      </c>
      <c r="C608">
        <v>-58902.39</v>
      </c>
      <c r="D608">
        <v>-5.2700000000000002E-4</v>
      </c>
      <c r="E608">
        <v>-58902.39</v>
      </c>
      <c r="F608" t="s">
        <v>2</v>
      </c>
    </row>
    <row r="609" spans="1:6" x14ac:dyDescent="0.25">
      <c r="A609" t="s">
        <v>51</v>
      </c>
      <c r="B609" t="s">
        <v>52</v>
      </c>
      <c r="C609">
        <v>6862490</v>
      </c>
      <c r="D609">
        <v>6.1439000000000001E-2</v>
      </c>
      <c r="E609">
        <v>-58902.39</v>
      </c>
      <c r="F609" t="s">
        <v>2</v>
      </c>
    </row>
    <row r="610" spans="1:6" x14ac:dyDescent="0.25">
      <c r="A610" t="s">
        <v>53</v>
      </c>
      <c r="B610" t="s">
        <v>54</v>
      </c>
      <c r="C610">
        <v>-76867.100000000006</v>
      </c>
      <c r="D610">
        <v>-6.8800000000000003E-4</v>
      </c>
      <c r="E610">
        <v>-76867.100000000006</v>
      </c>
      <c r="F610" t="s">
        <v>2</v>
      </c>
    </row>
    <row r="611" spans="1:6" x14ac:dyDescent="0.25">
      <c r="A611" t="s">
        <v>55</v>
      </c>
      <c r="B611" t="s">
        <v>56</v>
      </c>
      <c r="C611">
        <v>-15540060</v>
      </c>
      <c r="D611">
        <v>-0.139128</v>
      </c>
      <c r="E611">
        <v>-76867.100000000006</v>
      </c>
      <c r="F611" t="s">
        <v>2</v>
      </c>
    </row>
    <row r="612" spans="1:6" x14ac:dyDescent="0.25">
      <c r="A612" t="s">
        <v>127</v>
      </c>
      <c r="B612" t="s">
        <v>128</v>
      </c>
      <c r="C612">
        <v>462924</v>
      </c>
      <c r="D612">
        <v>4.1440000000000001E-3</v>
      </c>
      <c r="E612">
        <v>-13913.58</v>
      </c>
      <c r="F612" t="s">
        <v>2</v>
      </c>
    </row>
    <row r="613" spans="1:6" x14ac:dyDescent="0.25">
      <c r="A613" t="s">
        <v>129</v>
      </c>
      <c r="B613" t="s">
        <v>130</v>
      </c>
      <c r="C613">
        <v>462924</v>
      </c>
      <c r="D613">
        <v>4.1440000000000001E-3</v>
      </c>
      <c r="E613">
        <v>-13913.58</v>
      </c>
      <c r="F613" t="s">
        <v>2</v>
      </c>
    </row>
    <row r="614" spans="1:6" x14ac:dyDescent="0.25">
      <c r="A614" t="s">
        <v>75</v>
      </c>
      <c r="B614" t="s">
        <v>76</v>
      </c>
      <c r="C614">
        <v>-22177.32</v>
      </c>
      <c r="D614">
        <v>-1.9900000000000001E-4</v>
      </c>
      <c r="E614">
        <v>-22177.32</v>
      </c>
      <c r="F614" t="s">
        <v>2</v>
      </c>
    </row>
    <row r="615" spans="1:6" x14ac:dyDescent="0.25">
      <c r="A615" t="s">
        <v>77</v>
      </c>
      <c r="B615" t="s">
        <v>78</v>
      </c>
      <c r="C615">
        <v>-2978250</v>
      </c>
      <c r="D615">
        <v>-2.6664E-2</v>
      </c>
      <c r="E615">
        <v>-22177.32</v>
      </c>
      <c r="F615" t="s">
        <v>2</v>
      </c>
    </row>
    <row r="616" spans="1:6" x14ac:dyDescent="0.25">
      <c r="A616" t="s">
        <v>106</v>
      </c>
      <c r="B616" t="s">
        <v>107</v>
      </c>
      <c r="C616">
        <v>-100366.33</v>
      </c>
      <c r="D616">
        <v>-8.9899999999999995E-4</v>
      </c>
      <c r="E616">
        <v>-100366.33</v>
      </c>
      <c r="F616" t="s">
        <v>2</v>
      </c>
    </row>
    <row r="617" spans="1:6" x14ac:dyDescent="0.25">
      <c r="A617" t="s">
        <v>108</v>
      </c>
      <c r="B617" t="s">
        <v>109</v>
      </c>
      <c r="C617">
        <v>-100366.33</v>
      </c>
      <c r="D617">
        <v>-8.9899999999999995E-4</v>
      </c>
      <c r="E617">
        <v>-100366.33</v>
      </c>
      <c r="F617" t="s">
        <v>2</v>
      </c>
    </row>
    <row r="618" spans="1:6" x14ac:dyDescent="0.25">
      <c r="A618" t="s">
        <v>79</v>
      </c>
      <c r="B618" t="s">
        <v>2</v>
      </c>
      <c r="C618" t="s">
        <v>2</v>
      </c>
      <c r="D618">
        <v>0.28358699999999998</v>
      </c>
      <c r="E618" t="s">
        <v>2</v>
      </c>
      <c r="F618" t="s">
        <v>2</v>
      </c>
    </row>
    <row r="619" spans="1:6" x14ac:dyDescent="0.25">
      <c r="A619" t="s">
        <v>61</v>
      </c>
      <c r="B619" t="s">
        <v>2</v>
      </c>
      <c r="C619" t="s">
        <v>2</v>
      </c>
      <c r="D619">
        <v>0.42035899999999998</v>
      </c>
      <c r="E619" t="s">
        <v>2</v>
      </c>
      <c r="F619" t="s">
        <v>2</v>
      </c>
    </row>
    <row r="620" spans="1:6" x14ac:dyDescent="0.25">
      <c r="A620" t="s">
        <v>62</v>
      </c>
      <c r="B620" t="s">
        <v>2</v>
      </c>
      <c r="C620" t="s">
        <v>2</v>
      </c>
      <c r="D620">
        <v>1.785666</v>
      </c>
      <c r="E620" t="s">
        <v>2</v>
      </c>
      <c r="F620" t="s">
        <v>2</v>
      </c>
    </row>
    <row r="621" spans="1:6" x14ac:dyDescent="0.25">
      <c r="A621" t="s">
        <v>80</v>
      </c>
      <c r="B621" t="s">
        <v>2</v>
      </c>
      <c r="C621" t="s">
        <v>2</v>
      </c>
      <c r="D621">
        <v>0.28358699999999998</v>
      </c>
      <c r="E621" t="s">
        <v>2</v>
      </c>
      <c r="F621" t="s">
        <v>2</v>
      </c>
    </row>
    <row r="622" spans="1:6" x14ac:dyDescent="0.25">
      <c r="A622" t="s">
        <v>63</v>
      </c>
      <c r="B622" t="s">
        <v>2</v>
      </c>
      <c r="C622" t="s">
        <v>2</v>
      </c>
      <c r="D622">
        <v>0.42035899999999998</v>
      </c>
      <c r="E622" t="s">
        <v>2</v>
      </c>
      <c r="F622" t="s">
        <v>2</v>
      </c>
    </row>
    <row r="623" spans="1:6" x14ac:dyDescent="0.25">
      <c r="A623" t="s">
        <v>64</v>
      </c>
      <c r="B623" t="s">
        <v>2</v>
      </c>
      <c r="C623" t="s">
        <v>2</v>
      </c>
      <c r="D623">
        <v>0.17458799999999999</v>
      </c>
      <c r="E623" t="s">
        <v>2</v>
      </c>
      <c r="F623" t="s">
        <v>2</v>
      </c>
    </row>
    <row r="624" spans="1:6" x14ac:dyDescent="0.25">
      <c r="A624" t="s">
        <v>65</v>
      </c>
      <c r="B624" t="s">
        <v>2</v>
      </c>
      <c r="C624" t="s">
        <v>2</v>
      </c>
      <c r="D624">
        <v>0.108517</v>
      </c>
      <c r="E624" t="s">
        <v>2</v>
      </c>
      <c r="F624" t="s">
        <v>2</v>
      </c>
    </row>
    <row r="625" spans="1:6" x14ac:dyDescent="0.25">
      <c r="A625" t="s">
        <v>66</v>
      </c>
      <c r="B625" t="s">
        <v>2</v>
      </c>
      <c r="C625" t="s">
        <v>2</v>
      </c>
      <c r="D625">
        <v>1.7614999999999999E-2</v>
      </c>
      <c r="E625" t="s">
        <v>2</v>
      </c>
      <c r="F625" t="s">
        <v>2</v>
      </c>
    </row>
    <row r="626" spans="1:6" x14ac:dyDescent="0.25">
      <c r="A626" t="s">
        <v>2</v>
      </c>
      <c r="B626" t="s">
        <v>2</v>
      </c>
      <c r="C626" t="s">
        <v>2</v>
      </c>
      <c r="D626" t="s">
        <v>2</v>
      </c>
      <c r="E626" t="s">
        <v>2</v>
      </c>
      <c r="F626" t="s">
        <v>2</v>
      </c>
    </row>
    <row r="627" spans="1:6" x14ac:dyDescent="0.25">
      <c r="A627" t="s">
        <v>135</v>
      </c>
      <c r="B627" t="s">
        <v>173</v>
      </c>
      <c r="C627" t="s">
        <v>136</v>
      </c>
      <c r="D627" t="s">
        <v>2</v>
      </c>
      <c r="E627" t="s">
        <v>2</v>
      </c>
      <c r="F627" t="s">
        <v>2</v>
      </c>
    </row>
    <row r="628" spans="1:6" x14ac:dyDescent="0.25">
      <c r="A628" t="s">
        <v>3</v>
      </c>
      <c r="B628" t="s">
        <v>4</v>
      </c>
      <c r="C628" t="s">
        <v>5</v>
      </c>
      <c r="D628" t="s">
        <v>6</v>
      </c>
      <c r="E628" t="s">
        <v>7</v>
      </c>
      <c r="F628" t="s">
        <v>8</v>
      </c>
    </row>
    <row r="629" spans="1:6" x14ac:dyDescent="0.25">
      <c r="A629" t="s">
        <v>9</v>
      </c>
      <c r="B629" t="s">
        <v>10</v>
      </c>
      <c r="C629">
        <v>35445.61</v>
      </c>
      <c r="D629">
        <v>3.2499999999999999E-4</v>
      </c>
      <c r="E629" t="s">
        <v>2</v>
      </c>
      <c r="F629" t="s">
        <v>2</v>
      </c>
    </row>
    <row r="630" spans="1:6" x14ac:dyDescent="0.25">
      <c r="A630" t="s">
        <v>11</v>
      </c>
      <c r="B630" t="s">
        <v>12</v>
      </c>
      <c r="C630">
        <v>35391.910000000003</v>
      </c>
      <c r="D630">
        <v>3.2499999999999999E-4</v>
      </c>
      <c r="E630" t="s">
        <v>2</v>
      </c>
      <c r="F630" t="s">
        <v>2</v>
      </c>
    </row>
    <row r="631" spans="1:6" x14ac:dyDescent="0.25">
      <c r="A631" t="s">
        <v>13</v>
      </c>
      <c r="B631" t="s">
        <v>14</v>
      </c>
      <c r="C631">
        <v>53.7</v>
      </c>
      <c r="D631">
        <v>0</v>
      </c>
      <c r="E631" t="s">
        <v>2</v>
      </c>
      <c r="F631" t="s">
        <v>2</v>
      </c>
    </row>
    <row r="632" spans="1:6" x14ac:dyDescent="0.25">
      <c r="A632" t="s">
        <v>15</v>
      </c>
      <c r="B632" t="s">
        <v>16</v>
      </c>
      <c r="C632">
        <v>13802097.26</v>
      </c>
      <c r="D632">
        <v>0.126557</v>
      </c>
      <c r="E632" t="s">
        <v>2</v>
      </c>
      <c r="F632" t="s">
        <v>2</v>
      </c>
    </row>
    <row r="633" spans="1:6" x14ac:dyDescent="0.25">
      <c r="A633" t="s">
        <v>123</v>
      </c>
      <c r="B633" t="s">
        <v>124</v>
      </c>
      <c r="C633">
        <v>101.15</v>
      </c>
      <c r="D633">
        <v>9.9999999999999995E-7</v>
      </c>
      <c r="E633" t="s">
        <v>2</v>
      </c>
      <c r="F633" t="s">
        <v>2</v>
      </c>
    </row>
    <row r="634" spans="1:6" x14ac:dyDescent="0.25">
      <c r="A634" t="s">
        <v>17</v>
      </c>
      <c r="B634" t="s">
        <v>18</v>
      </c>
      <c r="C634">
        <v>18657567.66</v>
      </c>
      <c r="D634">
        <v>0.17107800000000001</v>
      </c>
      <c r="E634" t="s">
        <v>2</v>
      </c>
      <c r="F634" t="s">
        <v>2</v>
      </c>
    </row>
    <row r="635" spans="1:6" x14ac:dyDescent="0.25">
      <c r="A635" t="s">
        <v>19</v>
      </c>
      <c r="B635" t="s">
        <v>20</v>
      </c>
      <c r="C635">
        <v>6294720.3600000003</v>
      </c>
      <c r="D635">
        <v>5.7718999999999999E-2</v>
      </c>
      <c r="E635" t="s">
        <v>2</v>
      </c>
      <c r="F635" t="s">
        <v>2</v>
      </c>
    </row>
    <row r="636" spans="1:6" x14ac:dyDescent="0.25">
      <c r="A636" t="s">
        <v>21</v>
      </c>
      <c r="B636" t="s">
        <v>22</v>
      </c>
      <c r="C636">
        <v>2084.9</v>
      </c>
      <c r="D636">
        <v>1.9000000000000001E-5</v>
      </c>
      <c r="E636" t="s">
        <v>2</v>
      </c>
      <c r="F636" t="s">
        <v>2</v>
      </c>
    </row>
    <row r="637" spans="1:6" x14ac:dyDescent="0.25">
      <c r="A637" t="s">
        <v>23</v>
      </c>
      <c r="B637" t="s">
        <v>24</v>
      </c>
      <c r="C637">
        <v>43398371.990000002</v>
      </c>
      <c r="D637">
        <v>0.39793600000000001</v>
      </c>
      <c r="E637">
        <v>-783925.35</v>
      </c>
      <c r="F637" t="s">
        <v>2</v>
      </c>
    </row>
    <row r="638" spans="1:6" x14ac:dyDescent="0.25">
      <c r="A638" t="s">
        <v>25</v>
      </c>
      <c r="B638" t="s">
        <v>26</v>
      </c>
      <c r="C638">
        <v>20454397</v>
      </c>
      <c r="D638">
        <v>0.187554</v>
      </c>
      <c r="E638">
        <v>-447245.38</v>
      </c>
      <c r="F638" t="s">
        <v>2</v>
      </c>
    </row>
    <row r="639" spans="1:6" x14ac:dyDescent="0.25">
      <c r="A639" t="s">
        <v>27</v>
      </c>
      <c r="B639" t="s">
        <v>28</v>
      </c>
      <c r="C639">
        <v>9417433</v>
      </c>
      <c r="D639">
        <v>8.6351999999999998E-2</v>
      </c>
      <c r="E639">
        <v>-14182.27</v>
      </c>
      <c r="F639" t="s">
        <v>2</v>
      </c>
    </row>
    <row r="640" spans="1:6" x14ac:dyDescent="0.25">
      <c r="A640" t="s">
        <v>29</v>
      </c>
      <c r="B640" t="s">
        <v>30</v>
      </c>
      <c r="C640">
        <v>1152697</v>
      </c>
      <c r="D640">
        <v>1.057E-2</v>
      </c>
      <c r="E640">
        <v>31938.1</v>
      </c>
      <c r="F640" t="s">
        <v>2</v>
      </c>
    </row>
    <row r="641" spans="1:6" x14ac:dyDescent="0.25">
      <c r="A641" t="s">
        <v>69</v>
      </c>
      <c r="B641" t="s">
        <v>70</v>
      </c>
      <c r="C641">
        <v>12142500.99</v>
      </c>
      <c r="D641">
        <v>0.11133899999999999</v>
      </c>
      <c r="E641">
        <v>-368378.26</v>
      </c>
      <c r="F641" t="s">
        <v>2</v>
      </c>
    </row>
    <row r="642" spans="1:6" x14ac:dyDescent="0.25">
      <c r="A642" t="s">
        <v>92</v>
      </c>
      <c r="B642" t="s">
        <v>93</v>
      </c>
      <c r="C642">
        <v>231344</v>
      </c>
      <c r="D642">
        <v>2.1210000000000001E-3</v>
      </c>
      <c r="E642">
        <v>13942.46</v>
      </c>
      <c r="F642" t="s">
        <v>2</v>
      </c>
    </row>
    <row r="643" spans="1:6" x14ac:dyDescent="0.25">
      <c r="A643" t="s">
        <v>71</v>
      </c>
      <c r="B643" t="s">
        <v>72</v>
      </c>
      <c r="C643">
        <v>33755546.799999997</v>
      </c>
      <c r="D643">
        <v>0.30951699999999999</v>
      </c>
      <c r="E643">
        <v>-66423.77</v>
      </c>
      <c r="F643" t="s">
        <v>2</v>
      </c>
    </row>
    <row r="644" spans="1:6" x14ac:dyDescent="0.25">
      <c r="A644" t="s">
        <v>84</v>
      </c>
      <c r="B644" t="s">
        <v>85</v>
      </c>
      <c r="C644">
        <v>2783984.8</v>
      </c>
      <c r="D644">
        <v>2.5527000000000001E-2</v>
      </c>
      <c r="E644">
        <v>-67411.990000000005</v>
      </c>
      <c r="F644" t="s">
        <v>2</v>
      </c>
    </row>
    <row r="645" spans="1:6" x14ac:dyDescent="0.25">
      <c r="A645" t="s">
        <v>73</v>
      </c>
      <c r="B645" t="s">
        <v>74</v>
      </c>
      <c r="C645">
        <v>30971562</v>
      </c>
      <c r="D645">
        <v>0.28399000000000002</v>
      </c>
      <c r="E645">
        <v>988.22</v>
      </c>
      <c r="F645" t="s">
        <v>2</v>
      </c>
    </row>
    <row r="646" spans="1:6" x14ac:dyDescent="0.25">
      <c r="A646" t="s">
        <v>35</v>
      </c>
      <c r="B646" t="s">
        <v>36</v>
      </c>
      <c r="C646">
        <v>944661.18</v>
      </c>
      <c r="D646">
        <v>8.6619999999999996E-3</v>
      </c>
      <c r="E646">
        <v>944661.18</v>
      </c>
      <c r="F646" t="s">
        <v>2</v>
      </c>
    </row>
    <row r="647" spans="1:6" x14ac:dyDescent="0.25">
      <c r="A647" t="s">
        <v>37</v>
      </c>
      <c r="B647" t="s">
        <v>38</v>
      </c>
      <c r="C647">
        <v>-487870.14</v>
      </c>
      <c r="D647">
        <v>-4.4730000000000004E-3</v>
      </c>
      <c r="E647">
        <v>-487870.14</v>
      </c>
      <c r="F647" t="s">
        <v>2</v>
      </c>
    </row>
    <row r="648" spans="1:6" x14ac:dyDescent="0.25">
      <c r="A648" t="s">
        <v>39</v>
      </c>
      <c r="B648" t="s">
        <v>40</v>
      </c>
      <c r="C648">
        <v>245675600</v>
      </c>
      <c r="D648">
        <v>2.2526899999999999</v>
      </c>
      <c r="E648">
        <v>-487870.14</v>
      </c>
      <c r="F648" t="s">
        <v>2</v>
      </c>
    </row>
    <row r="649" spans="1:6" x14ac:dyDescent="0.25">
      <c r="A649" t="s">
        <v>41</v>
      </c>
      <c r="B649" t="s">
        <v>42</v>
      </c>
      <c r="C649">
        <v>1132874.56</v>
      </c>
      <c r="D649">
        <v>1.0388E-2</v>
      </c>
      <c r="E649">
        <v>1132874.56</v>
      </c>
      <c r="F649" t="s">
        <v>2</v>
      </c>
    </row>
    <row r="650" spans="1:6" x14ac:dyDescent="0.25">
      <c r="A650" t="s">
        <v>43</v>
      </c>
      <c r="B650" t="s">
        <v>44</v>
      </c>
      <c r="C650">
        <v>43914185</v>
      </c>
      <c r="D650">
        <v>0.402665</v>
      </c>
      <c r="E650">
        <v>1132874.56</v>
      </c>
      <c r="F650" t="s">
        <v>2</v>
      </c>
    </row>
    <row r="651" spans="1:6" x14ac:dyDescent="0.25">
      <c r="A651" t="s">
        <v>94</v>
      </c>
      <c r="B651" t="s">
        <v>95</v>
      </c>
      <c r="C651">
        <v>-20160</v>
      </c>
      <c r="D651">
        <v>-1.85E-4</v>
      </c>
      <c r="E651">
        <v>-20160</v>
      </c>
      <c r="F651" t="s">
        <v>2</v>
      </c>
    </row>
    <row r="652" spans="1:6" x14ac:dyDescent="0.25">
      <c r="A652" t="s">
        <v>96</v>
      </c>
      <c r="B652" t="s">
        <v>97</v>
      </c>
      <c r="C652">
        <v>-1016720</v>
      </c>
      <c r="D652">
        <v>-9.3229999999999997E-3</v>
      </c>
      <c r="E652">
        <v>-20160</v>
      </c>
      <c r="F652" t="s">
        <v>2</v>
      </c>
    </row>
    <row r="653" spans="1:6" x14ac:dyDescent="0.25">
      <c r="A653" t="s">
        <v>45</v>
      </c>
      <c r="B653" t="s">
        <v>46</v>
      </c>
      <c r="C653">
        <v>-85260</v>
      </c>
      <c r="D653">
        <v>-7.8200000000000003E-4</v>
      </c>
      <c r="E653">
        <v>-85260</v>
      </c>
      <c r="F653" t="s">
        <v>2</v>
      </c>
    </row>
    <row r="654" spans="1:6" x14ac:dyDescent="0.25">
      <c r="A654" t="s">
        <v>47</v>
      </c>
      <c r="B654" t="s">
        <v>48</v>
      </c>
      <c r="C654">
        <v>3037920</v>
      </c>
      <c r="D654">
        <v>2.7855999999999999E-2</v>
      </c>
      <c r="E654">
        <v>-85260</v>
      </c>
      <c r="F654" t="s">
        <v>2</v>
      </c>
    </row>
    <row r="655" spans="1:6" x14ac:dyDescent="0.25">
      <c r="A655" t="s">
        <v>102</v>
      </c>
      <c r="B655" t="s">
        <v>103</v>
      </c>
      <c r="C655">
        <v>308884.62</v>
      </c>
      <c r="D655">
        <v>2.8319999999999999E-3</v>
      </c>
      <c r="E655">
        <v>308884.62</v>
      </c>
      <c r="F655" t="s">
        <v>2</v>
      </c>
    </row>
    <row r="656" spans="1:6" x14ac:dyDescent="0.25">
      <c r="A656" t="s">
        <v>104</v>
      </c>
      <c r="B656" t="s">
        <v>105</v>
      </c>
      <c r="C656">
        <v>-7594200</v>
      </c>
      <c r="D656">
        <v>-6.9634000000000001E-2</v>
      </c>
      <c r="E656">
        <v>308884.62</v>
      </c>
      <c r="F656" t="s">
        <v>2</v>
      </c>
    </row>
    <row r="657" spans="1:6" x14ac:dyDescent="0.25">
      <c r="A657" t="s">
        <v>49</v>
      </c>
      <c r="B657" t="s">
        <v>50</v>
      </c>
      <c r="C657">
        <v>-75042.39</v>
      </c>
      <c r="D657">
        <v>-6.8800000000000003E-4</v>
      </c>
      <c r="E657">
        <v>-75042.39</v>
      </c>
      <c r="F657" t="s">
        <v>2</v>
      </c>
    </row>
    <row r="658" spans="1:6" x14ac:dyDescent="0.25">
      <c r="A658" t="s">
        <v>51</v>
      </c>
      <c r="B658" t="s">
        <v>52</v>
      </c>
      <c r="C658">
        <v>11156000</v>
      </c>
      <c r="D658">
        <v>0.102293</v>
      </c>
      <c r="E658">
        <v>-75042.39</v>
      </c>
      <c r="F658" t="s">
        <v>2</v>
      </c>
    </row>
    <row r="659" spans="1:6" x14ac:dyDescent="0.25">
      <c r="A659" t="s">
        <v>53</v>
      </c>
      <c r="B659" t="s">
        <v>54</v>
      </c>
      <c r="C659">
        <v>280220</v>
      </c>
      <c r="D659">
        <v>2.5690000000000001E-3</v>
      </c>
      <c r="E659">
        <v>280220</v>
      </c>
      <c r="F659" t="s">
        <v>2</v>
      </c>
    </row>
    <row r="660" spans="1:6" x14ac:dyDescent="0.25">
      <c r="A660" t="s">
        <v>55</v>
      </c>
      <c r="B660" t="s">
        <v>56</v>
      </c>
      <c r="C660">
        <v>-11125180</v>
      </c>
      <c r="D660">
        <v>-0.102011</v>
      </c>
      <c r="E660">
        <v>280220</v>
      </c>
      <c r="F660" t="s">
        <v>2</v>
      </c>
    </row>
    <row r="661" spans="1:6" x14ac:dyDescent="0.25">
      <c r="A661" t="s">
        <v>75</v>
      </c>
      <c r="B661" t="s">
        <v>76</v>
      </c>
      <c r="C661">
        <v>143000</v>
      </c>
      <c r="D661">
        <v>1.3110000000000001E-3</v>
      </c>
      <c r="E661">
        <v>143000</v>
      </c>
      <c r="F661" t="s">
        <v>2</v>
      </c>
    </row>
    <row r="662" spans="1:6" x14ac:dyDescent="0.25">
      <c r="A662" t="s">
        <v>77</v>
      </c>
      <c r="B662" t="s">
        <v>78</v>
      </c>
      <c r="C662">
        <v>-2847625</v>
      </c>
      <c r="D662">
        <v>-2.6110999999999999E-2</v>
      </c>
      <c r="E662">
        <v>143000</v>
      </c>
      <c r="F662" t="s">
        <v>2</v>
      </c>
    </row>
    <row r="663" spans="1:6" x14ac:dyDescent="0.25">
      <c r="A663" t="s">
        <v>106</v>
      </c>
      <c r="B663" t="s">
        <v>107</v>
      </c>
      <c r="C663">
        <v>-251985.47</v>
      </c>
      <c r="D663">
        <v>-2.3110000000000001E-3</v>
      </c>
      <c r="E663">
        <v>-251985.47</v>
      </c>
      <c r="F663" t="s">
        <v>2</v>
      </c>
    </row>
    <row r="664" spans="1:6" x14ac:dyDescent="0.25">
      <c r="A664" t="s">
        <v>108</v>
      </c>
      <c r="B664" t="s">
        <v>109</v>
      </c>
      <c r="C664">
        <v>-251985.47</v>
      </c>
      <c r="D664">
        <v>-2.3110000000000001E-3</v>
      </c>
      <c r="E664">
        <v>-251985.47</v>
      </c>
      <c r="F664" t="s">
        <v>2</v>
      </c>
    </row>
    <row r="665" spans="1:6" x14ac:dyDescent="0.25">
      <c r="A665" t="s">
        <v>79</v>
      </c>
      <c r="B665" t="s">
        <v>2</v>
      </c>
      <c r="C665" t="s">
        <v>2</v>
      </c>
      <c r="D665">
        <v>0.30951699999999999</v>
      </c>
      <c r="E665" t="s">
        <v>2</v>
      </c>
      <c r="F665" t="s">
        <v>2</v>
      </c>
    </row>
    <row r="666" spans="1:6" x14ac:dyDescent="0.25">
      <c r="A666" t="s">
        <v>61</v>
      </c>
      <c r="B666" t="s">
        <v>2</v>
      </c>
      <c r="C666" t="s">
        <v>2</v>
      </c>
      <c r="D666">
        <v>0.39793600000000001</v>
      </c>
      <c r="E666" t="s">
        <v>2</v>
      </c>
      <c r="F666" t="s">
        <v>2</v>
      </c>
    </row>
    <row r="667" spans="1:6" x14ac:dyDescent="0.25">
      <c r="A667" t="s">
        <v>62</v>
      </c>
      <c r="B667" t="s">
        <v>2</v>
      </c>
      <c r="C667" t="s">
        <v>2</v>
      </c>
      <c r="D667">
        <v>2.5784259999999999</v>
      </c>
      <c r="E667" t="s">
        <v>2</v>
      </c>
      <c r="F667" t="s">
        <v>2</v>
      </c>
    </row>
    <row r="668" spans="1:6" x14ac:dyDescent="0.25">
      <c r="A668" t="s">
        <v>80</v>
      </c>
      <c r="B668" t="s">
        <v>2</v>
      </c>
      <c r="C668" t="s">
        <v>2</v>
      </c>
      <c r="D668">
        <v>0.30951699999999999</v>
      </c>
      <c r="E668" t="s">
        <v>2</v>
      </c>
      <c r="F668" t="s">
        <v>2</v>
      </c>
    </row>
    <row r="669" spans="1:6" x14ac:dyDescent="0.25">
      <c r="A669" t="s">
        <v>63</v>
      </c>
      <c r="B669" t="s">
        <v>2</v>
      </c>
      <c r="C669" t="s">
        <v>2</v>
      </c>
      <c r="D669">
        <v>0.39793600000000001</v>
      </c>
      <c r="E669" t="s">
        <v>2</v>
      </c>
      <c r="F669" t="s">
        <v>2</v>
      </c>
    </row>
    <row r="670" spans="1:6" x14ac:dyDescent="0.25">
      <c r="A670" t="s">
        <v>64</v>
      </c>
      <c r="B670" t="s">
        <v>2</v>
      </c>
      <c r="C670" t="s">
        <v>2</v>
      </c>
      <c r="D670">
        <v>0.18967500000000001</v>
      </c>
      <c r="E670" t="s">
        <v>2</v>
      </c>
      <c r="F670" t="s">
        <v>2</v>
      </c>
    </row>
    <row r="671" spans="1:6" x14ac:dyDescent="0.25">
      <c r="A671" t="s">
        <v>65</v>
      </c>
      <c r="B671" t="s">
        <v>2</v>
      </c>
      <c r="C671" t="s">
        <v>2</v>
      </c>
      <c r="D671">
        <v>9.6920999999999993E-2</v>
      </c>
      <c r="E671" t="s">
        <v>2</v>
      </c>
      <c r="F671" t="s">
        <v>2</v>
      </c>
    </row>
    <row r="672" spans="1:6" x14ac:dyDescent="0.25">
      <c r="A672" t="s">
        <v>66</v>
      </c>
      <c r="B672" t="s">
        <v>2</v>
      </c>
      <c r="C672" t="s">
        <v>2</v>
      </c>
      <c r="D672">
        <v>1.057E-2</v>
      </c>
      <c r="E672" t="s">
        <v>2</v>
      </c>
      <c r="F672" t="s">
        <v>2</v>
      </c>
    </row>
    <row r="673" spans="1:6" x14ac:dyDescent="0.25">
      <c r="A673" t="s">
        <v>81</v>
      </c>
      <c r="B673" t="s">
        <v>2</v>
      </c>
      <c r="C673" t="s">
        <v>2</v>
      </c>
      <c r="D673">
        <v>0.100314</v>
      </c>
      <c r="E673" t="s">
        <v>2</v>
      </c>
      <c r="F673" t="s">
        <v>2</v>
      </c>
    </row>
    <row r="674" spans="1:6" x14ac:dyDescent="0.25">
      <c r="A674" t="s">
        <v>2</v>
      </c>
      <c r="B674" t="s">
        <v>2</v>
      </c>
      <c r="C674" t="s">
        <v>2</v>
      </c>
      <c r="D674" t="s">
        <v>2</v>
      </c>
      <c r="E674" t="s">
        <v>2</v>
      </c>
      <c r="F674" t="s">
        <v>2</v>
      </c>
    </row>
    <row r="675" spans="1:6" x14ac:dyDescent="0.25">
      <c r="A675" t="s">
        <v>137</v>
      </c>
      <c r="B675" t="s">
        <v>174</v>
      </c>
      <c r="C675" t="s">
        <v>138</v>
      </c>
      <c r="D675" t="s">
        <v>2</v>
      </c>
      <c r="E675" t="s">
        <v>2</v>
      </c>
      <c r="F675" t="s">
        <v>2</v>
      </c>
    </row>
    <row r="676" spans="1:6" x14ac:dyDescent="0.25">
      <c r="A676" t="s">
        <v>3</v>
      </c>
      <c r="B676" t="s">
        <v>4</v>
      </c>
      <c r="C676" t="s">
        <v>5</v>
      </c>
      <c r="D676" t="s">
        <v>6</v>
      </c>
      <c r="E676" t="s">
        <v>7</v>
      </c>
      <c r="F676" t="s">
        <v>8</v>
      </c>
    </row>
    <row r="677" spans="1:6" x14ac:dyDescent="0.25">
      <c r="A677" t="s">
        <v>9</v>
      </c>
      <c r="B677" t="s">
        <v>10</v>
      </c>
      <c r="C677">
        <v>9256.64</v>
      </c>
      <c r="D677">
        <v>8.2999999999999998E-5</v>
      </c>
      <c r="E677" t="s">
        <v>2</v>
      </c>
      <c r="F677" t="s">
        <v>2</v>
      </c>
    </row>
    <row r="678" spans="1:6" x14ac:dyDescent="0.25">
      <c r="A678" t="s">
        <v>11</v>
      </c>
      <c r="B678" t="s">
        <v>12</v>
      </c>
      <c r="C678">
        <v>9255.65</v>
      </c>
      <c r="D678">
        <v>8.2999999999999998E-5</v>
      </c>
      <c r="E678" t="s">
        <v>2</v>
      </c>
      <c r="F678" t="s">
        <v>2</v>
      </c>
    </row>
    <row r="679" spans="1:6" x14ac:dyDescent="0.25">
      <c r="A679" t="s">
        <v>13</v>
      </c>
      <c r="B679" t="s">
        <v>14</v>
      </c>
      <c r="C679">
        <v>0.99</v>
      </c>
      <c r="D679">
        <v>0</v>
      </c>
      <c r="E679" t="s">
        <v>2</v>
      </c>
      <c r="F679" t="s">
        <v>2</v>
      </c>
    </row>
    <row r="680" spans="1:6" x14ac:dyDescent="0.25">
      <c r="A680" t="s">
        <v>15</v>
      </c>
      <c r="B680" t="s">
        <v>16</v>
      </c>
      <c r="C680">
        <v>13409582.83</v>
      </c>
      <c r="D680">
        <v>0.12076099999999999</v>
      </c>
      <c r="E680" t="s">
        <v>2</v>
      </c>
      <c r="F680" t="s">
        <v>2</v>
      </c>
    </row>
    <row r="681" spans="1:6" x14ac:dyDescent="0.25">
      <c r="A681" t="s">
        <v>123</v>
      </c>
      <c r="B681" t="s">
        <v>124</v>
      </c>
      <c r="C681">
        <v>19.14</v>
      </c>
      <c r="D681">
        <v>0</v>
      </c>
      <c r="E681" t="s">
        <v>2</v>
      </c>
      <c r="F681" t="s">
        <v>2</v>
      </c>
    </row>
    <row r="682" spans="1:6" x14ac:dyDescent="0.25">
      <c r="A682" t="s">
        <v>17</v>
      </c>
      <c r="B682" t="s">
        <v>18</v>
      </c>
      <c r="C682">
        <v>22860140.5</v>
      </c>
      <c r="D682">
        <v>0.205869</v>
      </c>
      <c r="E682" t="s">
        <v>2</v>
      </c>
      <c r="F682" t="s">
        <v>2</v>
      </c>
    </row>
    <row r="683" spans="1:6" x14ac:dyDescent="0.25">
      <c r="A683" t="s">
        <v>19</v>
      </c>
      <c r="B683" t="s">
        <v>20</v>
      </c>
      <c r="C683">
        <v>6730245.2699999996</v>
      </c>
      <c r="D683">
        <v>6.0609999999999997E-2</v>
      </c>
      <c r="E683" t="s">
        <v>2</v>
      </c>
      <c r="F683" t="s">
        <v>2</v>
      </c>
    </row>
    <row r="684" spans="1:6" x14ac:dyDescent="0.25">
      <c r="A684" t="s">
        <v>21</v>
      </c>
      <c r="B684" t="s">
        <v>22</v>
      </c>
      <c r="C684">
        <v>288.97000000000003</v>
      </c>
      <c r="D684">
        <v>3.0000000000000001E-6</v>
      </c>
      <c r="E684" t="s">
        <v>2</v>
      </c>
      <c r="F684" t="s">
        <v>2</v>
      </c>
    </row>
    <row r="685" spans="1:6" x14ac:dyDescent="0.25">
      <c r="A685" t="s">
        <v>23</v>
      </c>
      <c r="B685" t="s">
        <v>24</v>
      </c>
      <c r="C685">
        <v>31232365.09</v>
      </c>
      <c r="D685">
        <v>0.28126600000000002</v>
      </c>
      <c r="E685">
        <v>-404677.35</v>
      </c>
      <c r="F685" t="s">
        <v>2</v>
      </c>
    </row>
    <row r="686" spans="1:6" x14ac:dyDescent="0.25">
      <c r="A686" t="s">
        <v>25</v>
      </c>
      <c r="B686" t="s">
        <v>26</v>
      </c>
      <c r="C686">
        <v>9886798</v>
      </c>
      <c r="D686">
        <v>8.9037000000000005E-2</v>
      </c>
      <c r="E686">
        <v>-273024.96000000002</v>
      </c>
      <c r="F686" t="s">
        <v>2</v>
      </c>
    </row>
    <row r="687" spans="1:6" x14ac:dyDescent="0.25">
      <c r="A687" t="s">
        <v>27</v>
      </c>
      <c r="B687" t="s">
        <v>28</v>
      </c>
      <c r="C687">
        <v>5639319</v>
      </c>
      <c r="D687">
        <v>5.0784999999999997E-2</v>
      </c>
      <c r="E687">
        <v>-6103.22</v>
      </c>
      <c r="F687" t="s">
        <v>2</v>
      </c>
    </row>
    <row r="688" spans="1:6" x14ac:dyDescent="0.25">
      <c r="A688" t="s">
        <v>29</v>
      </c>
      <c r="B688" t="s">
        <v>30</v>
      </c>
      <c r="C688">
        <v>1524087.6</v>
      </c>
      <c r="D688">
        <v>1.3724999999999999E-2</v>
      </c>
      <c r="E688">
        <v>51833.77</v>
      </c>
      <c r="F688" t="s">
        <v>2</v>
      </c>
    </row>
    <row r="689" spans="1:6" x14ac:dyDescent="0.25">
      <c r="A689" t="s">
        <v>69</v>
      </c>
      <c r="B689" t="s">
        <v>70</v>
      </c>
      <c r="C689">
        <v>13856849.49</v>
      </c>
      <c r="D689">
        <v>0.124789</v>
      </c>
      <c r="E689">
        <v>-173182.28</v>
      </c>
      <c r="F689" t="s">
        <v>2</v>
      </c>
    </row>
    <row r="690" spans="1:6" x14ac:dyDescent="0.25">
      <c r="A690" t="s">
        <v>92</v>
      </c>
      <c r="B690" t="s">
        <v>93</v>
      </c>
      <c r="C690">
        <v>325311</v>
      </c>
      <c r="D690">
        <v>2.9299999999999999E-3</v>
      </c>
      <c r="E690">
        <v>-4200.66</v>
      </c>
      <c r="F690" t="s">
        <v>2</v>
      </c>
    </row>
    <row r="691" spans="1:6" x14ac:dyDescent="0.25">
      <c r="A691" t="s">
        <v>71</v>
      </c>
      <c r="B691" t="s">
        <v>72</v>
      </c>
      <c r="C691">
        <v>43743852.219999999</v>
      </c>
      <c r="D691">
        <v>0.39394000000000001</v>
      </c>
      <c r="E691">
        <v>-97920.11</v>
      </c>
      <c r="F691" t="s">
        <v>2</v>
      </c>
    </row>
    <row r="692" spans="1:6" x14ac:dyDescent="0.25">
      <c r="A692" t="s">
        <v>84</v>
      </c>
      <c r="B692" t="s">
        <v>85</v>
      </c>
      <c r="C692">
        <v>2597512.4</v>
      </c>
      <c r="D692">
        <v>2.3392E-2</v>
      </c>
      <c r="E692">
        <v>-98717.94</v>
      </c>
      <c r="F692" t="s">
        <v>2</v>
      </c>
    </row>
    <row r="693" spans="1:6" x14ac:dyDescent="0.25">
      <c r="A693" t="s">
        <v>73</v>
      </c>
      <c r="B693" t="s">
        <v>74</v>
      </c>
      <c r="C693">
        <v>41146339.82</v>
      </c>
      <c r="D693">
        <v>0.37054799999999999</v>
      </c>
      <c r="E693">
        <v>797.83</v>
      </c>
      <c r="F693" t="s">
        <v>2</v>
      </c>
    </row>
    <row r="694" spans="1:6" x14ac:dyDescent="0.25">
      <c r="A694" t="s">
        <v>35</v>
      </c>
      <c r="B694" t="s">
        <v>36</v>
      </c>
      <c r="C694">
        <v>3369047.2</v>
      </c>
      <c r="D694">
        <v>3.0339999999999999E-2</v>
      </c>
      <c r="E694">
        <v>3369047.2</v>
      </c>
      <c r="F694" t="s">
        <v>2</v>
      </c>
    </row>
    <row r="695" spans="1:6" x14ac:dyDescent="0.25">
      <c r="A695" t="s">
        <v>37</v>
      </c>
      <c r="B695" t="s">
        <v>38</v>
      </c>
      <c r="C695">
        <v>-1118550.1399999999</v>
      </c>
      <c r="D695">
        <v>-1.0073E-2</v>
      </c>
      <c r="E695">
        <v>-1118550.1399999999</v>
      </c>
      <c r="F695" t="s">
        <v>2</v>
      </c>
    </row>
    <row r="696" spans="1:6" x14ac:dyDescent="0.25">
      <c r="A696" t="s">
        <v>39</v>
      </c>
      <c r="B696" t="s">
        <v>40</v>
      </c>
      <c r="C696">
        <v>245044920</v>
      </c>
      <c r="D696">
        <v>2.2067770000000002</v>
      </c>
      <c r="E696">
        <v>-1118550.1399999999</v>
      </c>
      <c r="F696" t="s">
        <v>2</v>
      </c>
    </row>
    <row r="697" spans="1:6" x14ac:dyDescent="0.25">
      <c r="A697" t="s">
        <v>41</v>
      </c>
      <c r="B697" t="s">
        <v>42</v>
      </c>
      <c r="C697">
        <v>3600830.56</v>
      </c>
      <c r="D697">
        <v>3.2427999999999998E-2</v>
      </c>
      <c r="E697">
        <v>3600830.56</v>
      </c>
      <c r="F697" t="s">
        <v>2</v>
      </c>
    </row>
    <row r="698" spans="1:6" x14ac:dyDescent="0.25">
      <c r="A698" t="s">
        <v>43</v>
      </c>
      <c r="B698" t="s">
        <v>44</v>
      </c>
      <c r="C698">
        <v>53873610</v>
      </c>
      <c r="D698">
        <v>0.48516399999999998</v>
      </c>
      <c r="E698">
        <v>3600830.56</v>
      </c>
      <c r="F698" t="s">
        <v>2</v>
      </c>
    </row>
    <row r="699" spans="1:6" x14ac:dyDescent="0.25">
      <c r="A699" t="s">
        <v>94</v>
      </c>
      <c r="B699" t="s">
        <v>95</v>
      </c>
      <c r="C699">
        <v>56550</v>
      </c>
      <c r="D699">
        <v>5.0900000000000001E-4</v>
      </c>
      <c r="E699">
        <v>56550</v>
      </c>
      <c r="F699" t="s">
        <v>2</v>
      </c>
    </row>
    <row r="700" spans="1:6" x14ac:dyDescent="0.25">
      <c r="A700" t="s">
        <v>96</v>
      </c>
      <c r="B700" t="s">
        <v>97</v>
      </c>
      <c r="C700">
        <v>-1999800</v>
      </c>
      <c r="D700">
        <v>-1.8009000000000001E-2</v>
      </c>
      <c r="E700">
        <v>56550</v>
      </c>
      <c r="F700" t="s">
        <v>2</v>
      </c>
    </row>
    <row r="701" spans="1:6" x14ac:dyDescent="0.25">
      <c r="A701" t="s">
        <v>45</v>
      </c>
      <c r="B701" t="s">
        <v>46</v>
      </c>
      <c r="C701">
        <v>-275140</v>
      </c>
      <c r="D701">
        <v>-2.4780000000000002E-3</v>
      </c>
      <c r="E701">
        <v>-275140</v>
      </c>
      <c r="F701" t="s">
        <v>2</v>
      </c>
    </row>
    <row r="702" spans="1:6" x14ac:dyDescent="0.25">
      <c r="A702" t="s">
        <v>47</v>
      </c>
      <c r="B702" t="s">
        <v>48</v>
      </c>
      <c r="C702">
        <v>13757070</v>
      </c>
      <c r="D702">
        <v>0.123891</v>
      </c>
      <c r="E702">
        <v>-275140</v>
      </c>
      <c r="F702" t="s">
        <v>2</v>
      </c>
    </row>
    <row r="703" spans="1:6" x14ac:dyDescent="0.25">
      <c r="A703" t="s">
        <v>102</v>
      </c>
      <c r="B703" t="s">
        <v>103</v>
      </c>
      <c r="C703">
        <v>451494.62</v>
      </c>
      <c r="D703">
        <v>4.0660000000000002E-3</v>
      </c>
      <c r="E703">
        <v>451494.62</v>
      </c>
      <c r="F703" t="s">
        <v>2</v>
      </c>
    </row>
    <row r="704" spans="1:6" x14ac:dyDescent="0.25">
      <c r="A704" t="s">
        <v>104</v>
      </c>
      <c r="B704" t="s">
        <v>105</v>
      </c>
      <c r="C704">
        <v>-8665990</v>
      </c>
      <c r="D704">
        <v>-7.8042E-2</v>
      </c>
      <c r="E704">
        <v>451494.62</v>
      </c>
      <c r="F704" t="s">
        <v>2</v>
      </c>
    </row>
    <row r="705" spans="1:6" x14ac:dyDescent="0.25">
      <c r="A705" t="s">
        <v>49</v>
      </c>
      <c r="B705" t="s">
        <v>50</v>
      </c>
      <c r="C705">
        <v>-142342.03</v>
      </c>
      <c r="D705">
        <v>-1.2819999999999999E-3</v>
      </c>
      <c r="E705">
        <v>-142342.03</v>
      </c>
      <c r="F705" t="s">
        <v>2</v>
      </c>
    </row>
    <row r="706" spans="1:6" x14ac:dyDescent="0.25">
      <c r="A706" t="s">
        <v>51</v>
      </c>
      <c r="B706" t="s">
        <v>52</v>
      </c>
      <c r="C706">
        <v>7765280</v>
      </c>
      <c r="D706">
        <v>6.9930999999999993E-2</v>
      </c>
      <c r="E706">
        <v>-142342.03</v>
      </c>
      <c r="F706" t="s">
        <v>2</v>
      </c>
    </row>
    <row r="707" spans="1:6" x14ac:dyDescent="0.25">
      <c r="A707" t="s">
        <v>53</v>
      </c>
      <c r="B707" t="s">
        <v>54</v>
      </c>
      <c r="C707">
        <v>208628.34</v>
      </c>
      <c r="D707">
        <v>1.879E-3</v>
      </c>
      <c r="E707">
        <v>208628.34</v>
      </c>
      <c r="F707" t="s">
        <v>2</v>
      </c>
    </row>
    <row r="708" spans="1:6" x14ac:dyDescent="0.25">
      <c r="A708" t="s">
        <v>55</v>
      </c>
      <c r="B708" t="s">
        <v>56</v>
      </c>
      <c r="C708">
        <v>-36436415</v>
      </c>
      <c r="D708">
        <v>-0.32813199999999998</v>
      </c>
      <c r="E708">
        <v>208628.34</v>
      </c>
      <c r="F708" t="s">
        <v>2</v>
      </c>
    </row>
    <row r="709" spans="1:6" x14ac:dyDescent="0.25">
      <c r="A709" t="s">
        <v>57</v>
      </c>
      <c r="B709" t="s">
        <v>58</v>
      </c>
      <c r="C709">
        <v>43400</v>
      </c>
      <c r="D709">
        <v>3.9100000000000002E-4</v>
      </c>
      <c r="E709">
        <v>43400</v>
      </c>
      <c r="F709" t="s">
        <v>2</v>
      </c>
    </row>
    <row r="710" spans="1:6" x14ac:dyDescent="0.25">
      <c r="A710" t="s">
        <v>59</v>
      </c>
      <c r="B710" t="s">
        <v>60</v>
      </c>
      <c r="C710">
        <v>2687000</v>
      </c>
      <c r="D710">
        <v>2.4198000000000001E-2</v>
      </c>
      <c r="E710">
        <v>43400</v>
      </c>
      <c r="F710" t="s">
        <v>2</v>
      </c>
    </row>
    <row r="711" spans="1:6" x14ac:dyDescent="0.25">
      <c r="A711" t="s">
        <v>139</v>
      </c>
      <c r="B711" t="s">
        <v>140</v>
      </c>
      <c r="C711">
        <v>-7500</v>
      </c>
      <c r="D711">
        <v>-6.7999999999999999E-5</v>
      </c>
      <c r="E711">
        <v>-7500</v>
      </c>
      <c r="F711" t="s">
        <v>2</v>
      </c>
    </row>
    <row r="712" spans="1:6" x14ac:dyDescent="0.25">
      <c r="A712" t="s">
        <v>141</v>
      </c>
      <c r="B712" t="s">
        <v>142</v>
      </c>
      <c r="C712">
        <v>-865800</v>
      </c>
      <c r="D712">
        <v>-7.7970000000000001E-3</v>
      </c>
      <c r="E712">
        <v>-7500</v>
      </c>
      <c r="F712" t="s">
        <v>2</v>
      </c>
    </row>
    <row r="713" spans="1:6" x14ac:dyDescent="0.25">
      <c r="A713" t="s">
        <v>75</v>
      </c>
      <c r="B713" t="s">
        <v>76</v>
      </c>
      <c r="C713">
        <v>290125</v>
      </c>
      <c r="D713">
        <v>2.6129999999999999E-3</v>
      </c>
      <c r="E713">
        <v>290125</v>
      </c>
      <c r="F713" t="s">
        <v>2</v>
      </c>
    </row>
    <row r="714" spans="1:6" x14ac:dyDescent="0.25">
      <c r="A714" t="s">
        <v>77</v>
      </c>
      <c r="B714" t="s">
        <v>78</v>
      </c>
      <c r="C714">
        <v>-2700500</v>
      </c>
      <c r="D714">
        <v>-2.4320000000000001E-2</v>
      </c>
      <c r="E714">
        <v>290125</v>
      </c>
      <c r="F714" t="s">
        <v>2</v>
      </c>
    </row>
    <row r="715" spans="1:6" x14ac:dyDescent="0.25">
      <c r="A715" t="s">
        <v>106</v>
      </c>
      <c r="B715" t="s">
        <v>107</v>
      </c>
      <c r="C715">
        <v>261550.85</v>
      </c>
      <c r="D715">
        <v>2.3549999999999999E-3</v>
      </c>
      <c r="E715">
        <v>261550.85</v>
      </c>
      <c r="F715" t="s">
        <v>2</v>
      </c>
    </row>
    <row r="716" spans="1:6" x14ac:dyDescent="0.25">
      <c r="A716" t="s">
        <v>108</v>
      </c>
      <c r="B716" t="s">
        <v>109</v>
      </c>
      <c r="C716">
        <v>261550.85</v>
      </c>
      <c r="D716">
        <v>2.3549999999999999E-3</v>
      </c>
      <c r="E716">
        <v>261550.85</v>
      </c>
      <c r="F716" t="s">
        <v>2</v>
      </c>
    </row>
    <row r="717" spans="1:6" x14ac:dyDescent="0.25">
      <c r="A717" t="s">
        <v>79</v>
      </c>
      <c r="B717" t="s">
        <v>2</v>
      </c>
      <c r="C717" t="s">
        <v>2</v>
      </c>
      <c r="D717">
        <v>0.39394000000000001</v>
      </c>
      <c r="E717" t="s">
        <v>2</v>
      </c>
      <c r="F717" t="s">
        <v>2</v>
      </c>
    </row>
    <row r="718" spans="1:6" x14ac:dyDescent="0.25">
      <c r="A718" t="s">
        <v>61</v>
      </c>
      <c r="B718" t="s">
        <v>2</v>
      </c>
      <c r="C718" t="s">
        <v>2</v>
      </c>
      <c r="D718">
        <v>0.28126600000000002</v>
      </c>
      <c r="E718" t="s">
        <v>2</v>
      </c>
      <c r="F718" t="s">
        <v>2</v>
      </c>
    </row>
    <row r="719" spans="1:6" x14ac:dyDescent="0.25">
      <c r="A719" t="s">
        <v>62</v>
      </c>
      <c r="B719" t="s">
        <v>2</v>
      </c>
      <c r="C719" t="s">
        <v>2</v>
      </c>
      <c r="D719">
        <v>2.4536609999999999</v>
      </c>
      <c r="E719" t="s">
        <v>2</v>
      </c>
      <c r="F719" t="s">
        <v>2</v>
      </c>
    </row>
    <row r="720" spans="1:6" x14ac:dyDescent="0.25">
      <c r="A720" t="s">
        <v>80</v>
      </c>
      <c r="B720" t="s">
        <v>2</v>
      </c>
      <c r="C720" t="s">
        <v>2</v>
      </c>
      <c r="D720">
        <v>0.39394000000000001</v>
      </c>
      <c r="E720" t="s">
        <v>2</v>
      </c>
      <c r="F720" t="s">
        <v>2</v>
      </c>
    </row>
    <row r="721" spans="1:6" x14ac:dyDescent="0.25">
      <c r="A721" t="s">
        <v>63</v>
      </c>
      <c r="B721" t="s">
        <v>2</v>
      </c>
      <c r="C721" t="s">
        <v>2</v>
      </c>
      <c r="D721">
        <v>0.28126600000000002</v>
      </c>
      <c r="E721" t="s">
        <v>2</v>
      </c>
      <c r="F721" t="s">
        <v>2</v>
      </c>
    </row>
    <row r="722" spans="1:6" x14ac:dyDescent="0.25">
      <c r="A722" t="s">
        <v>64</v>
      </c>
      <c r="B722" t="s">
        <v>2</v>
      </c>
      <c r="C722" t="s">
        <v>2</v>
      </c>
      <c r="D722">
        <v>9.1966000000000006E-2</v>
      </c>
      <c r="E722" t="s">
        <v>2</v>
      </c>
      <c r="F722" t="s">
        <v>2</v>
      </c>
    </row>
    <row r="723" spans="1:6" x14ac:dyDescent="0.25">
      <c r="A723" t="s">
        <v>65</v>
      </c>
      <c r="B723" t="s">
        <v>2</v>
      </c>
      <c r="C723" t="s">
        <v>2</v>
      </c>
      <c r="D723">
        <v>6.4510999999999999E-2</v>
      </c>
      <c r="E723" t="s">
        <v>2</v>
      </c>
      <c r="F723" t="s">
        <v>2</v>
      </c>
    </row>
    <row r="724" spans="1:6" x14ac:dyDescent="0.25">
      <c r="A724" t="s">
        <v>66</v>
      </c>
      <c r="B724" t="s">
        <v>2</v>
      </c>
      <c r="C724" t="s">
        <v>2</v>
      </c>
      <c r="D724">
        <v>1.3724999999999999E-2</v>
      </c>
      <c r="E724" t="s">
        <v>2</v>
      </c>
      <c r="F724" t="s">
        <v>2</v>
      </c>
    </row>
    <row r="725" spans="1:6" x14ac:dyDescent="0.25">
      <c r="A725" t="s">
        <v>81</v>
      </c>
      <c r="B725" t="s">
        <v>2</v>
      </c>
      <c r="C725" t="s">
        <v>2</v>
      </c>
      <c r="D725">
        <v>0.12858900000000001</v>
      </c>
      <c r="E725" t="s">
        <v>2</v>
      </c>
      <c r="F725" t="s">
        <v>2</v>
      </c>
    </row>
    <row r="726" spans="1:6" x14ac:dyDescent="0.25">
      <c r="A726" t="s">
        <v>2</v>
      </c>
      <c r="B726" t="s">
        <v>2</v>
      </c>
      <c r="C726" t="s">
        <v>2</v>
      </c>
      <c r="D726" t="s">
        <v>2</v>
      </c>
      <c r="E726" t="s">
        <v>2</v>
      </c>
      <c r="F726" t="s">
        <v>2</v>
      </c>
    </row>
    <row r="727" spans="1:6" x14ac:dyDescent="0.25">
      <c r="A727" t="s">
        <v>143</v>
      </c>
      <c r="B727" t="s">
        <v>175</v>
      </c>
      <c r="C727" t="s">
        <v>144</v>
      </c>
      <c r="D727" t="s">
        <v>2</v>
      </c>
      <c r="E727" t="s">
        <v>2</v>
      </c>
      <c r="F727" t="s">
        <v>2</v>
      </c>
    </row>
    <row r="728" spans="1:6" x14ac:dyDescent="0.25">
      <c r="A728" t="s">
        <v>3</v>
      </c>
      <c r="B728" t="s">
        <v>4</v>
      </c>
      <c r="C728" t="s">
        <v>5</v>
      </c>
      <c r="D728" t="s">
        <v>6</v>
      </c>
      <c r="E728" t="s">
        <v>7</v>
      </c>
      <c r="F728" t="s">
        <v>8</v>
      </c>
    </row>
    <row r="729" spans="1:6" x14ac:dyDescent="0.25">
      <c r="A729" t="s">
        <v>9</v>
      </c>
      <c r="B729" t="s">
        <v>10</v>
      </c>
      <c r="C729">
        <v>89846.46</v>
      </c>
      <c r="D729">
        <v>8.1599999999999999E-4</v>
      </c>
      <c r="E729" t="s">
        <v>2</v>
      </c>
      <c r="F729" t="s">
        <v>2</v>
      </c>
    </row>
    <row r="730" spans="1:6" x14ac:dyDescent="0.25">
      <c r="A730" t="s">
        <v>11</v>
      </c>
      <c r="B730" t="s">
        <v>12</v>
      </c>
      <c r="C730">
        <v>89793.85</v>
      </c>
      <c r="D730">
        <v>8.1599999999999999E-4</v>
      </c>
      <c r="E730" t="s">
        <v>2</v>
      </c>
      <c r="F730" t="s">
        <v>2</v>
      </c>
    </row>
    <row r="731" spans="1:6" x14ac:dyDescent="0.25">
      <c r="A731" t="s">
        <v>13</v>
      </c>
      <c r="B731" t="s">
        <v>14</v>
      </c>
      <c r="C731">
        <v>52.61</v>
      </c>
      <c r="D731">
        <v>0</v>
      </c>
      <c r="E731" t="s">
        <v>2</v>
      </c>
      <c r="F731" t="s">
        <v>2</v>
      </c>
    </row>
    <row r="732" spans="1:6" x14ac:dyDescent="0.25">
      <c r="A732" t="s">
        <v>15</v>
      </c>
      <c r="B732" t="s">
        <v>16</v>
      </c>
      <c r="C732">
        <v>14394533.34</v>
      </c>
      <c r="D732">
        <v>0.13078799999999999</v>
      </c>
      <c r="E732" t="s">
        <v>2</v>
      </c>
      <c r="F732" t="s">
        <v>2</v>
      </c>
    </row>
    <row r="733" spans="1:6" x14ac:dyDescent="0.25">
      <c r="A733" t="s">
        <v>123</v>
      </c>
      <c r="B733" t="s">
        <v>124</v>
      </c>
      <c r="C733">
        <v>54.56</v>
      </c>
      <c r="D733">
        <v>0</v>
      </c>
      <c r="E733" t="s">
        <v>2</v>
      </c>
      <c r="F733" t="s">
        <v>2</v>
      </c>
    </row>
    <row r="734" spans="1:6" x14ac:dyDescent="0.25">
      <c r="A734" t="s">
        <v>17</v>
      </c>
      <c r="B734" t="s">
        <v>18</v>
      </c>
      <c r="C734">
        <v>27238828.879999999</v>
      </c>
      <c r="D734">
        <v>0.24749199999999999</v>
      </c>
      <c r="E734" t="s">
        <v>2</v>
      </c>
      <c r="F734" t="s">
        <v>2</v>
      </c>
    </row>
    <row r="735" spans="1:6" x14ac:dyDescent="0.25">
      <c r="A735" t="s">
        <v>19</v>
      </c>
      <c r="B735" t="s">
        <v>20</v>
      </c>
      <c r="C735">
        <v>7656757.79</v>
      </c>
      <c r="D735">
        <v>6.9569000000000006E-2</v>
      </c>
      <c r="E735" t="s">
        <v>2</v>
      </c>
      <c r="F735" t="s">
        <v>2</v>
      </c>
    </row>
    <row r="736" spans="1:6" x14ac:dyDescent="0.25">
      <c r="A736" t="s">
        <v>21</v>
      </c>
      <c r="B736" t="s">
        <v>22</v>
      </c>
      <c r="C736">
        <v>1021.43</v>
      </c>
      <c r="D736">
        <v>9.0000000000000002E-6</v>
      </c>
      <c r="E736" t="s">
        <v>2</v>
      </c>
      <c r="F736" t="s">
        <v>2</v>
      </c>
    </row>
    <row r="737" spans="1:6" x14ac:dyDescent="0.25">
      <c r="A737" t="s">
        <v>23</v>
      </c>
      <c r="B737" t="s">
        <v>24</v>
      </c>
      <c r="C737">
        <v>25544127.530000001</v>
      </c>
      <c r="D737">
        <v>0.23209399999999999</v>
      </c>
      <c r="E737">
        <v>-1076823.94</v>
      </c>
      <c r="F737" t="s">
        <v>2</v>
      </c>
    </row>
    <row r="738" spans="1:6" x14ac:dyDescent="0.25">
      <c r="A738" t="s">
        <v>25</v>
      </c>
      <c r="B738" t="s">
        <v>26</v>
      </c>
      <c r="C738">
        <v>8957401</v>
      </c>
      <c r="D738">
        <v>8.1387000000000001E-2</v>
      </c>
      <c r="E738">
        <v>-510716.26</v>
      </c>
      <c r="F738" t="s">
        <v>2</v>
      </c>
    </row>
    <row r="739" spans="1:6" x14ac:dyDescent="0.25">
      <c r="A739" t="s">
        <v>27</v>
      </c>
      <c r="B739" t="s">
        <v>28</v>
      </c>
      <c r="C739">
        <v>4478720</v>
      </c>
      <c r="D739">
        <v>4.0694000000000001E-2</v>
      </c>
      <c r="E739">
        <v>-148681.9</v>
      </c>
      <c r="F739" t="s">
        <v>2</v>
      </c>
    </row>
    <row r="740" spans="1:6" x14ac:dyDescent="0.25">
      <c r="A740" t="s">
        <v>29</v>
      </c>
      <c r="B740" t="s">
        <v>30</v>
      </c>
      <c r="C740">
        <v>962758.6</v>
      </c>
      <c r="D740">
        <v>8.7480000000000006E-3</v>
      </c>
      <c r="E740">
        <v>51364.61</v>
      </c>
      <c r="F740" t="s">
        <v>2</v>
      </c>
    </row>
    <row r="741" spans="1:6" x14ac:dyDescent="0.25">
      <c r="A741" t="s">
        <v>69</v>
      </c>
      <c r="B741" t="s">
        <v>70</v>
      </c>
      <c r="C741">
        <v>10821090.93</v>
      </c>
      <c r="D741">
        <v>9.8320000000000005E-2</v>
      </c>
      <c r="E741">
        <v>-453295.25</v>
      </c>
      <c r="F741" t="s">
        <v>2</v>
      </c>
    </row>
    <row r="742" spans="1:6" x14ac:dyDescent="0.25">
      <c r="A742" t="s">
        <v>92</v>
      </c>
      <c r="B742" t="s">
        <v>93</v>
      </c>
      <c r="C742">
        <v>324157</v>
      </c>
      <c r="D742">
        <v>2.9450000000000001E-3</v>
      </c>
      <c r="E742">
        <v>-15495.14</v>
      </c>
      <c r="F742" t="s">
        <v>2</v>
      </c>
    </row>
    <row r="743" spans="1:6" x14ac:dyDescent="0.25">
      <c r="A743" t="s">
        <v>71</v>
      </c>
      <c r="B743" t="s">
        <v>72</v>
      </c>
      <c r="C743">
        <v>44735007.799999997</v>
      </c>
      <c r="D743">
        <v>0.40646199999999999</v>
      </c>
      <c r="E743">
        <v>-249805.98</v>
      </c>
      <c r="F743" t="s">
        <v>2</v>
      </c>
    </row>
    <row r="744" spans="1:6" x14ac:dyDescent="0.25">
      <c r="A744" t="s">
        <v>84</v>
      </c>
      <c r="B744" t="s">
        <v>85</v>
      </c>
      <c r="C744">
        <v>6543298.9000000004</v>
      </c>
      <c r="D744">
        <v>5.9451999999999998E-2</v>
      </c>
      <c r="E744">
        <v>-254719.44</v>
      </c>
      <c r="F744" t="s">
        <v>2</v>
      </c>
    </row>
    <row r="745" spans="1:6" x14ac:dyDescent="0.25">
      <c r="A745" t="s">
        <v>73</v>
      </c>
      <c r="B745" t="s">
        <v>74</v>
      </c>
      <c r="C745">
        <v>38191708.899999999</v>
      </c>
      <c r="D745">
        <v>0.34700900000000001</v>
      </c>
      <c r="E745">
        <v>4913.46</v>
      </c>
      <c r="F745" t="s">
        <v>2</v>
      </c>
    </row>
    <row r="746" spans="1:6" x14ac:dyDescent="0.25">
      <c r="A746" t="s">
        <v>86</v>
      </c>
      <c r="B746" t="s">
        <v>87</v>
      </c>
      <c r="C746">
        <v>276.77</v>
      </c>
      <c r="D746">
        <v>3.0000000000000001E-6</v>
      </c>
      <c r="E746" t="s">
        <v>2</v>
      </c>
      <c r="F746" t="s">
        <v>2</v>
      </c>
    </row>
    <row r="747" spans="1:6" x14ac:dyDescent="0.25">
      <c r="A747" t="s">
        <v>100</v>
      </c>
      <c r="B747" t="s">
        <v>101</v>
      </c>
      <c r="C747">
        <v>276.77</v>
      </c>
      <c r="D747">
        <v>3.0000000000000001E-6</v>
      </c>
      <c r="E747" t="s">
        <v>2</v>
      </c>
      <c r="F747" t="s">
        <v>2</v>
      </c>
    </row>
    <row r="748" spans="1:6" x14ac:dyDescent="0.25">
      <c r="A748" t="s">
        <v>35</v>
      </c>
      <c r="B748" t="s">
        <v>36</v>
      </c>
      <c r="C748">
        <v>5464186.2999999998</v>
      </c>
      <c r="D748">
        <v>4.9647999999999998E-2</v>
      </c>
      <c r="E748">
        <v>5275161.79</v>
      </c>
      <c r="F748" t="s">
        <v>2</v>
      </c>
    </row>
    <row r="749" spans="1:6" x14ac:dyDescent="0.25">
      <c r="A749" t="s">
        <v>145</v>
      </c>
      <c r="B749" t="s">
        <v>146</v>
      </c>
      <c r="C749">
        <v>77800</v>
      </c>
      <c r="D749">
        <v>7.0699999999999995E-4</v>
      </c>
      <c r="E749">
        <v>77800</v>
      </c>
      <c r="F749" t="s">
        <v>2</v>
      </c>
    </row>
    <row r="750" spans="1:6" x14ac:dyDescent="0.25">
      <c r="A750" t="s">
        <v>147</v>
      </c>
      <c r="B750" t="s">
        <v>148</v>
      </c>
      <c r="C750">
        <v>4514400</v>
      </c>
      <c r="D750">
        <v>4.1017999999999999E-2</v>
      </c>
      <c r="E750">
        <v>77800</v>
      </c>
      <c r="F750" t="s">
        <v>2</v>
      </c>
    </row>
    <row r="751" spans="1:6" x14ac:dyDescent="0.25">
      <c r="A751" t="s">
        <v>37</v>
      </c>
      <c r="B751" t="s">
        <v>38</v>
      </c>
      <c r="C751">
        <v>194399.86</v>
      </c>
      <c r="D751">
        <v>1.766E-3</v>
      </c>
      <c r="E751">
        <v>194399.86</v>
      </c>
      <c r="F751" t="s">
        <v>2</v>
      </c>
    </row>
    <row r="752" spans="1:6" x14ac:dyDescent="0.25">
      <c r="A752" t="s">
        <v>39</v>
      </c>
      <c r="B752" t="s">
        <v>40</v>
      </c>
      <c r="C752">
        <v>335644120</v>
      </c>
      <c r="D752">
        <v>3.0496569999999998</v>
      </c>
      <c r="E752">
        <v>194399.86</v>
      </c>
      <c r="F752" t="s">
        <v>2</v>
      </c>
    </row>
    <row r="753" spans="1:6" x14ac:dyDescent="0.25">
      <c r="A753" t="s">
        <v>41</v>
      </c>
      <c r="B753" t="s">
        <v>42</v>
      </c>
      <c r="C753">
        <v>5081795.6900000004</v>
      </c>
      <c r="D753">
        <v>4.6172999999999999E-2</v>
      </c>
      <c r="E753">
        <v>5081795.6900000004</v>
      </c>
      <c r="F753" t="s">
        <v>2</v>
      </c>
    </row>
    <row r="754" spans="1:6" x14ac:dyDescent="0.25">
      <c r="A754" t="s">
        <v>43</v>
      </c>
      <c r="B754" t="s">
        <v>44</v>
      </c>
      <c r="C754">
        <v>47776470</v>
      </c>
      <c r="D754">
        <v>0.43409599999999998</v>
      </c>
      <c r="E754">
        <v>5081795.6900000004</v>
      </c>
      <c r="F754" t="s">
        <v>2</v>
      </c>
    </row>
    <row r="755" spans="1:6" x14ac:dyDescent="0.25">
      <c r="A755" t="s">
        <v>94</v>
      </c>
      <c r="B755" t="s">
        <v>95</v>
      </c>
      <c r="C755">
        <v>227242.11</v>
      </c>
      <c r="D755">
        <v>2.065E-3</v>
      </c>
      <c r="E755">
        <v>227242.11</v>
      </c>
      <c r="F755" t="s">
        <v>2</v>
      </c>
    </row>
    <row r="756" spans="1:6" x14ac:dyDescent="0.25">
      <c r="A756" t="s">
        <v>96</v>
      </c>
      <c r="B756" t="s">
        <v>97</v>
      </c>
      <c r="C756">
        <v>-9941280</v>
      </c>
      <c r="D756">
        <v>-9.0326000000000004E-2</v>
      </c>
      <c r="E756">
        <v>227242.11</v>
      </c>
      <c r="F756" t="s">
        <v>2</v>
      </c>
    </row>
    <row r="757" spans="1:6" x14ac:dyDescent="0.25">
      <c r="A757" t="s">
        <v>45</v>
      </c>
      <c r="B757" t="s">
        <v>46</v>
      </c>
      <c r="C757">
        <v>-17213.04</v>
      </c>
      <c r="D757">
        <v>-1.56E-4</v>
      </c>
      <c r="E757">
        <v>-17213.04</v>
      </c>
      <c r="F757" t="s">
        <v>2</v>
      </c>
    </row>
    <row r="758" spans="1:6" x14ac:dyDescent="0.25">
      <c r="A758" t="s">
        <v>47</v>
      </c>
      <c r="B758" t="s">
        <v>48</v>
      </c>
      <c r="C758">
        <v>9050500</v>
      </c>
      <c r="D758">
        <v>8.2233000000000001E-2</v>
      </c>
      <c r="E758">
        <v>-17213.04</v>
      </c>
      <c r="F758" t="s">
        <v>2</v>
      </c>
    </row>
    <row r="759" spans="1:6" x14ac:dyDescent="0.25">
      <c r="A759" t="s">
        <v>102</v>
      </c>
      <c r="B759" t="s">
        <v>103</v>
      </c>
      <c r="C759">
        <v>77320.5</v>
      </c>
      <c r="D759">
        <v>7.0299999999999996E-4</v>
      </c>
      <c r="E759">
        <v>77320.5</v>
      </c>
      <c r="F759" t="s">
        <v>2</v>
      </c>
    </row>
    <row r="760" spans="1:6" x14ac:dyDescent="0.25">
      <c r="A760" t="s">
        <v>104</v>
      </c>
      <c r="B760" t="s">
        <v>105</v>
      </c>
      <c r="C760">
        <v>-8718470</v>
      </c>
      <c r="D760">
        <v>-7.9215999999999995E-2</v>
      </c>
      <c r="E760">
        <v>77320.5</v>
      </c>
      <c r="F760" t="s">
        <v>2</v>
      </c>
    </row>
    <row r="761" spans="1:6" x14ac:dyDescent="0.25">
      <c r="A761" t="s">
        <v>53</v>
      </c>
      <c r="B761" t="s">
        <v>54</v>
      </c>
      <c r="C761">
        <v>284535.24</v>
      </c>
      <c r="D761">
        <v>2.5850000000000001E-3</v>
      </c>
      <c r="E761">
        <v>284535.24</v>
      </c>
      <c r="F761" t="s">
        <v>2</v>
      </c>
    </row>
    <row r="762" spans="1:6" x14ac:dyDescent="0.25">
      <c r="A762" t="s">
        <v>55</v>
      </c>
      <c r="B762" t="s">
        <v>56</v>
      </c>
      <c r="C762">
        <v>-15711575</v>
      </c>
      <c r="D762">
        <v>-0.14275499999999999</v>
      </c>
      <c r="E762">
        <v>284535.24</v>
      </c>
      <c r="F762" t="s">
        <v>2</v>
      </c>
    </row>
    <row r="763" spans="1:6" x14ac:dyDescent="0.25">
      <c r="A763" t="s">
        <v>127</v>
      </c>
      <c r="B763" t="s">
        <v>128</v>
      </c>
      <c r="C763">
        <v>158467</v>
      </c>
      <c r="D763">
        <v>1.4400000000000001E-3</v>
      </c>
      <c r="E763">
        <v>-30557.51</v>
      </c>
      <c r="F763" t="s">
        <v>2</v>
      </c>
    </row>
    <row r="764" spans="1:6" x14ac:dyDescent="0.25">
      <c r="A764" t="s">
        <v>129</v>
      </c>
      <c r="B764" t="s">
        <v>130</v>
      </c>
      <c r="C764">
        <v>158467</v>
      </c>
      <c r="D764">
        <v>1.4400000000000001E-3</v>
      </c>
      <c r="E764">
        <v>-30557.51</v>
      </c>
      <c r="F764" t="s">
        <v>2</v>
      </c>
    </row>
    <row r="765" spans="1:6" x14ac:dyDescent="0.25">
      <c r="A765" t="s">
        <v>57</v>
      </c>
      <c r="B765" t="s">
        <v>58</v>
      </c>
      <c r="C765">
        <v>-148750</v>
      </c>
      <c r="D765">
        <v>-1.3519999999999999E-3</v>
      </c>
      <c r="E765">
        <v>-148750</v>
      </c>
      <c r="F765" t="s">
        <v>2</v>
      </c>
    </row>
    <row r="766" spans="1:6" x14ac:dyDescent="0.25">
      <c r="A766" t="s">
        <v>59</v>
      </c>
      <c r="B766" t="s">
        <v>60</v>
      </c>
      <c r="C766">
        <v>7619800</v>
      </c>
      <c r="D766">
        <v>6.9233000000000003E-2</v>
      </c>
      <c r="E766">
        <v>-148750</v>
      </c>
      <c r="F766" t="s">
        <v>2</v>
      </c>
    </row>
    <row r="767" spans="1:6" x14ac:dyDescent="0.25">
      <c r="A767" t="s">
        <v>149</v>
      </c>
      <c r="B767" t="s">
        <v>150</v>
      </c>
      <c r="C767">
        <v>-296535</v>
      </c>
      <c r="D767">
        <v>-2.6940000000000002E-3</v>
      </c>
      <c r="E767">
        <v>-296535</v>
      </c>
      <c r="F767" t="s">
        <v>2</v>
      </c>
    </row>
    <row r="768" spans="1:6" x14ac:dyDescent="0.25">
      <c r="A768" t="s">
        <v>151</v>
      </c>
      <c r="B768" t="s">
        <v>152</v>
      </c>
      <c r="C768">
        <v>3580800</v>
      </c>
      <c r="D768">
        <v>3.2535000000000001E-2</v>
      </c>
      <c r="E768">
        <v>-296535</v>
      </c>
      <c r="F768" t="s">
        <v>2</v>
      </c>
    </row>
    <row r="769" spans="1:6" x14ac:dyDescent="0.25">
      <c r="A769" t="s">
        <v>75</v>
      </c>
      <c r="B769" t="s">
        <v>76</v>
      </c>
      <c r="C769">
        <v>125050</v>
      </c>
      <c r="D769">
        <v>1.1360000000000001E-3</v>
      </c>
      <c r="E769">
        <v>125050</v>
      </c>
      <c r="F769" t="s">
        <v>2</v>
      </c>
    </row>
    <row r="770" spans="1:6" x14ac:dyDescent="0.25">
      <c r="A770" t="s">
        <v>77</v>
      </c>
      <c r="B770" t="s">
        <v>78</v>
      </c>
      <c r="C770">
        <v>-3375275</v>
      </c>
      <c r="D770">
        <v>-3.0668000000000001E-2</v>
      </c>
      <c r="E770">
        <v>125050</v>
      </c>
      <c r="F770" t="s">
        <v>2</v>
      </c>
    </row>
    <row r="771" spans="1:6" x14ac:dyDescent="0.25">
      <c r="A771" t="s">
        <v>106</v>
      </c>
      <c r="B771" t="s">
        <v>107</v>
      </c>
      <c r="C771">
        <v>-299926.06</v>
      </c>
      <c r="D771">
        <v>-2.725E-3</v>
      </c>
      <c r="E771">
        <v>-299926.06</v>
      </c>
      <c r="F771" t="s">
        <v>2</v>
      </c>
    </row>
    <row r="772" spans="1:6" x14ac:dyDescent="0.25">
      <c r="A772" t="s">
        <v>108</v>
      </c>
      <c r="B772" t="s">
        <v>109</v>
      </c>
      <c r="C772">
        <v>-299926.06</v>
      </c>
      <c r="D772">
        <v>-2.725E-3</v>
      </c>
      <c r="E772">
        <v>-299926.06</v>
      </c>
      <c r="F772" t="s">
        <v>2</v>
      </c>
    </row>
    <row r="773" spans="1:6" x14ac:dyDescent="0.25">
      <c r="A773" t="s">
        <v>79</v>
      </c>
      <c r="B773" t="s">
        <v>2</v>
      </c>
      <c r="C773" t="s">
        <v>2</v>
      </c>
      <c r="D773">
        <v>0.40646199999999999</v>
      </c>
      <c r="E773" t="s">
        <v>2</v>
      </c>
      <c r="F773" t="s">
        <v>2</v>
      </c>
    </row>
    <row r="774" spans="1:6" x14ac:dyDescent="0.25">
      <c r="A774" t="s">
        <v>61</v>
      </c>
      <c r="B774" t="s">
        <v>2</v>
      </c>
      <c r="C774" t="s">
        <v>2</v>
      </c>
      <c r="D774">
        <v>0.23209399999999999</v>
      </c>
      <c r="E774" t="s">
        <v>2</v>
      </c>
      <c r="F774" t="s">
        <v>2</v>
      </c>
    </row>
    <row r="775" spans="1:6" x14ac:dyDescent="0.25">
      <c r="A775" t="s">
        <v>62</v>
      </c>
      <c r="B775" t="s">
        <v>2</v>
      </c>
      <c r="C775" t="s">
        <v>2</v>
      </c>
      <c r="D775">
        <v>3.3658070000000002</v>
      </c>
      <c r="E775" t="s">
        <v>2</v>
      </c>
      <c r="F775" t="s">
        <v>2</v>
      </c>
    </row>
    <row r="776" spans="1:6" x14ac:dyDescent="0.25">
      <c r="A776" t="s">
        <v>80</v>
      </c>
      <c r="B776" t="s">
        <v>2</v>
      </c>
      <c r="C776" t="s">
        <v>2</v>
      </c>
      <c r="D776">
        <v>0.40646199999999999</v>
      </c>
      <c r="E776" t="s">
        <v>2</v>
      </c>
      <c r="F776" t="s">
        <v>2</v>
      </c>
    </row>
    <row r="777" spans="1:6" x14ac:dyDescent="0.25">
      <c r="A777" t="s">
        <v>63</v>
      </c>
      <c r="B777" t="s">
        <v>2</v>
      </c>
      <c r="C777" t="s">
        <v>2</v>
      </c>
      <c r="D777">
        <v>0.23209399999999999</v>
      </c>
      <c r="E777" t="s">
        <v>2</v>
      </c>
      <c r="F777" t="s">
        <v>2</v>
      </c>
    </row>
    <row r="778" spans="1:6" x14ac:dyDescent="0.25">
      <c r="A778" t="s">
        <v>64</v>
      </c>
      <c r="B778" t="s">
        <v>2</v>
      </c>
      <c r="C778" t="s">
        <v>2</v>
      </c>
      <c r="D778">
        <v>8.4332000000000004E-2</v>
      </c>
      <c r="E778" t="s">
        <v>2</v>
      </c>
      <c r="F778" t="s">
        <v>2</v>
      </c>
    </row>
    <row r="779" spans="1:6" x14ac:dyDescent="0.25">
      <c r="A779" t="s">
        <v>65</v>
      </c>
      <c r="B779" t="s">
        <v>2</v>
      </c>
      <c r="C779" t="s">
        <v>2</v>
      </c>
      <c r="D779">
        <v>4.9440999999999999E-2</v>
      </c>
      <c r="E779" t="s">
        <v>2</v>
      </c>
      <c r="F779" t="s">
        <v>2</v>
      </c>
    </row>
    <row r="780" spans="1:6" x14ac:dyDescent="0.25">
      <c r="A780" t="s">
        <v>66</v>
      </c>
      <c r="B780" t="s">
        <v>2</v>
      </c>
      <c r="C780" t="s">
        <v>2</v>
      </c>
      <c r="D780">
        <v>8.7480000000000006E-3</v>
      </c>
      <c r="E780" t="s">
        <v>2</v>
      </c>
      <c r="F780" t="s">
        <v>2</v>
      </c>
    </row>
    <row r="781" spans="1:6" x14ac:dyDescent="0.25">
      <c r="A781" t="s">
        <v>2</v>
      </c>
      <c r="B781" t="s">
        <v>2</v>
      </c>
      <c r="C781" t="s">
        <v>2</v>
      </c>
      <c r="D781" t="s">
        <v>2</v>
      </c>
      <c r="E781" t="s">
        <v>2</v>
      </c>
      <c r="F781" t="s">
        <v>2</v>
      </c>
    </row>
    <row r="782" spans="1:6" x14ac:dyDescent="0.25">
      <c r="A782" t="s">
        <v>153</v>
      </c>
      <c r="B782" t="s">
        <v>176</v>
      </c>
      <c r="C782" t="s">
        <v>154</v>
      </c>
      <c r="D782" t="s">
        <v>2</v>
      </c>
      <c r="E782" t="s">
        <v>2</v>
      </c>
      <c r="F782" t="s">
        <v>2</v>
      </c>
    </row>
    <row r="783" spans="1:6" x14ac:dyDescent="0.25">
      <c r="A783" t="s">
        <v>3</v>
      </c>
      <c r="B783" t="s">
        <v>4</v>
      </c>
      <c r="C783" t="s">
        <v>5</v>
      </c>
      <c r="D783" t="s">
        <v>6</v>
      </c>
      <c r="E783" t="s">
        <v>7</v>
      </c>
      <c r="F783" t="s">
        <v>8</v>
      </c>
    </row>
    <row r="784" spans="1:6" x14ac:dyDescent="0.25">
      <c r="A784" t="s">
        <v>9</v>
      </c>
      <c r="B784" t="s">
        <v>10</v>
      </c>
      <c r="C784">
        <v>47517.75</v>
      </c>
      <c r="D784">
        <v>4.64E-4</v>
      </c>
      <c r="E784" t="s">
        <v>2</v>
      </c>
      <c r="F784" t="s">
        <v>2</v>
      </c>
    </row>
    <row r="785" spans="1:6" x14ac:dyDescent="0.25">
      <c r="A785" t="s">
        <v>11</v>
      </c>
      <c r="B785" t="s">
        <v>12</v>
      </c>
      <c r="C785">
        <v>47448.47</v>
      </c>
      <c r="D785">
        <v>4.6299999999999998E-4</v>
      </c>
      <c r="E785" t="s">
        <v>2</v>
      </c>
      <c r="F785" t="s">
        <v>2</v>
      </c>
    </row>
    <row r="786" spans="1:6" x14ac:dyDescent="0.25">
      <c r="A786" t="s">
        <v>13</v>
      </c>
      <c r="B786" t="s">
        <v>14</v>
      </c>
      <c r="C786">
        <v>69.28</v>
      </c>
      <c r="D786">
        <v>9.9999999999999995E-7</v>
      </c>
      <c r="E786" t="s">
        <v>2</v>
      </c>
      <c r="F786" t="s">
        <v>2</v>
      </c>
    </row>
    <row r="787" spans="1:6" x14ac:dyDescent="0.25">
      <c r="A787" t="s">
        <v>15</v>
      </c>
      <c r="B787" t="s">
        <v>16</v>
      </c>
      <c r="C787">
        <v>15269110.859999999</v>
      </c>
      <c r="D787">
        <v>0.14902499999999999</v>
      </c>
      <c r="E787" t="s">
        <v>2</v>
      </c>
      <c r="F787" t="s">
        <v>2</v>
      </c>
    </row>
    <row r="788" spans="1:6" x14ac:dyDescent="0.25">
      <c r="A788" t="s">
        <v>123</v>
      </c>
      <c r="B788" t="s">
        <v>124</v>
      </c>
      <c r="C788">
        <v>111.47</v>
      </c>
      <c r="D788">
        <v>9.9999999999999995E-7</v>
      </c>
      <c r="E788" t="s">
        <v>2</v>
      </c>
      <c r="F788" t="s">
        <v>2</v>
      </c>
    </row>
    <row r="789" spans="1:6" x14ac:dyDescent="0.25">
      <c r="A789" t="s">
        <v>17</v>
      </c>
      <c r="B789" t="s">
        <v>18</v>
      </c>
      <c r="C789">
        <v>18305928.93</v>
      </c>
      <c r="D789">
        <v>0.17866399999999999</v>
      </c>
      <c r="E789" t="s">
        <v>2</v>
      </c>
      <c r="F789" t="s">
        <v>2</v>
      </c>
    </row>
    <row r="790" spans="1:6" x14ac:dyDescent="0.25">
      <c r="A790" t="s">
        <v>19</v>
      </c>
      <c r="B790" t="s">
        <v>20</v>
      </c>
      <c r="C790">
        <v>3409372.56</v>
      </c>
      <c r="D790">
        <v>3.3274999999999999E-2</v>
      </c>
      <c r="E790" t="s">
        <v>2</v>
      </c>
      <c r="F790" t="s">
        <v>2</v>
      </c>
    </row>
    <row r="791" spans="1:6" x14ac:dyDescent="0.25">
      <c r="A791" t="s">
        <v>21</v>
      </c>
      <c r="B791" t="s">
        <v>22</v>
      </c>
      <c r="C791">
        <v>1764.9</v>
      </c>
      <c r="D791">
        <v>1.7E-5</v>
      </c>
      <c r="E791" t="s">
        <v>2</v>
      </c>
      <c r="F791" t="s">
        <v>2</v>
      </c>
    </row>
    <row r="792" spans="1:6" x14ac:dyDescent="0.25">
      <c r="A792" t="s">
        <v>23</v>
      </c>
      <c r="B792" t="s">
        <v>24</v>
      </c>
      <c r="C792">
        <v>19854199.550000001</v>
      </c>
      <c r="D792">
        <v>0.193775</v>
      </c>
      <c r="E792">
        <v>-200851.78</v>
      </c>
      <c r="F792" t="s">
        <v>2</v>
      </c>
    </row>
    <row r="793" spans="1:6" x14ac:dyDescent="0.25">
      <c r="A793" t="s">
        <v>25</v>
      </c>
      <c r="B793" t="s">
        <v>26</v>
      </c>
      <c r="C793">
        <v>6644899</v>
      </c>
      <c r="D793">
        <v>6.4853999999999995E-2</v>
      </c>
      <c r="E793">
        <v>-163833.5</v>
      </c>
      <c r="F793" t="s">
        <v>2</v>
      </c>
    </row>
    <row r="794" spans="1:6" x14ac:dyDescent="0.25">
      <c r="A794" t="s">
        <v>27</v>
      </c>
      <c r="B794" t="s">
        <v>28</v>
      </c>
      <c r="C794">
        <v>4476362.9000000004</v>
      </c>
      <c r="D794">
        <v>4.3688999999999999E-2</v>
      </c>
      <c r="E794">
        <v>-18529.91</v>
      </c>
      <c r="F794" t="s">
        <v>2</v>
      </c>
    </row>
    <row r="795" spans="1:6" x14ac:dyDescent="0.25">
      <c r="A795" t="s">
        <v>29</v>
      </c>
      <c r="B795" t="s">
        <v>30</v>
      </c>
      <c r="C795">
        <v>763282.2</v>
      </c>
      <c r="D795">
        <v>7.45E-3</v>
      </c>
      <c r="E795">
        <v>20025.09</v>
      </c>
      <c r="F795" t="s">
        <v>2</v>
      </c>
    </row>
    <row r="796" spans="1:6" x14ac:dyDescent="0.25">
      <c r="A796" t="s">
        <v>69</v>
      </c>
      <c r="B796" t="s">
        <v>70</v>
      </c>
      <c r="C796">
        <v>7847141.4500000002</v>
      </c>
      <c r="D796">
        <v>7.6587000000000002E-2</v>
      </c>
      <c r="E796">
        <v>-43829.84</v>
      </c>
      <c r="F796" t="s">
        <v>2</v>
      </c>
    </row>
    <row r="797" spans="1:6" x14ac:dyDescent="0.25">
      <c r="A797" t="s">
        <v>92</v>
      </c>
      <c r="B797" t="s">
        <v>93</v>
      </c>
      <c r="C797">
        <v>122514</v>
      </c>
      <c r="D797">
        <v>1.196E-3</v>
      </c>
      <c r="E797">
        <v>5316.38</v>
      </c>
      <c r="F797" t="s">
        <v>2</v>
      </c>
    </row>
    <row r="798" spans="1:6" x14ac:dyDescent="0.25">
      <c r="A798" t="s">
        <v>71</v>
      </c>
      <c r="B798" t="s">
        <v>72</v>
      </c>
      <c r="C798">
        <v>49455944.829999998</v>
      </c>
      <c r="D798">
        <v>0.48268499999999998</v>
      </c>
      <c r="E798">
        <v>-333114.92</v>
      </c>
      <c r="F798" t="s">
        <v>2</v>
      </c>
    </row>
    <row r="799" spans="1:6" x14ac:dyDescent="0.25">
      <c r="A799" t="s">
        <v>84</v>
      </c>
      <c r="B799" t="s">
        <v>85</v>
      </c>
      <c r="C799">
        <v>4421035.2</v>
      </c>
      <c r="D799">
        <v>4.3149E-2</v>
      </c>
      <c r="E799">
        <v>-338297.11</v>
      </c>
      <c r="F799" t="s">
        <v>2</v>
      </c>
    </row>
    <row r="800" spans="1:6" x14ac:dyDescent="0.25">
      <c r="A800" t="s">
        <v>73</v>
      </c>
      <c r="B800" t="s">
        <v>74</v>
      </c>
      <c r="C800">
        <v>45034909.630000003</v>
      </c>
      <c r="D800">
        <v>0.43953599999999998</v>
      </c>
      <c r="E800">
        <v>5182.1899999999996</v>
      </c>
      <c r="F800" t="s">
        <v>2</v>
      </c>
    </row>
    <row r="801" spans="1:6" x14ac:dyDescent="0.25">
      <c r="A801" t="s">
        <v>86</v>
      </c>
      <c r="B801" t="s">
        <v>87</v>
      </c>
      <c r="C801">
        <v>66553.279999999999</v>
      </c>
      <c r="D801">
        <v>6.4999999999999997E-4</v>
      </c>
      <c r="E801" t="s">
        <v>2</v>
      </c>
      <c r="F801" t="s">
        <v>2</v>
      </c>
    </row>
    <row r="802" spans="1:6" x14ac:dyDescent="0.25">
      <c r="A802" t="s">
        <v>100</v>
      </c>
      <c r="B802" t="s">
        <v>101</v>
      </c>
      <c r="C802">
        <v>66553.279999999999</v>
      </c>
      <c r="D802">
        <v>6.4999999999999997E-4</v>
      </c>
      <c r="E802" t="s">
        <v>2</v>
      </c>
      <c r="F802" t="s">
        <v>2</v>
      </c>
    </row>
    <row r="803" spans="1:6" x14ac:dyDescent="0.25">
      <c r="A803" t="s">
        <v>35</v>
      </c>
      <c r="B803" t="s">
        <v>36</v>
      </c>
      <c r="C803">
        <v>-521033.03</v>
      </c>
      <c r="D803">
        <v>-5.0850000000000001E-3</v>
      </c>
      <c r="E803">
        <v>-521033.03</v>
      </c>
      <c r="F803" t="s">
        <v>2</v>
      </c>
    </row>
    <row r="804" spans="1:6" x14ac:dyDescent="0.25">
      <c r="A804" t="s">
        <v>145</v>
      </c>
      <c r="B804" t="s">
        <v>146</v>
      </c>
      <c r="C804">
        <v>192420</v>
      </c>
      <c r="D804">
        <v>1.8779999999999999E-3</v>
      </c>
      <c r="E804">
        <v>192420</v>
      </c>
      <c r="F804" t="s">
        <v>2</v>
      </c>
    </row>
    <row r="805" spans="1:6" x14ac:dyDescent="0.25">
      <c r="A805" t="s">
        <v>147</v>
      </c>
      <c r="B805" t="s">
        <v>148</v>
      </c>
      <c r="C805">
        <v>5753980</v>
      </c>
      <c r="D805">
        <v>5.6158E-2</v>
      </c>
      <c r="E805">
        <v>192420</v>
      </c>
      <c r="F805" t="s">
        <v>2</v>
      </c>
    </row>
    <row r="806" spans="1:6" x14ac:dyDescent="0.25">
      <c r="A806" t="s">
        <v>37</v>
      </c>
      <c r="B806" t="s">
        <v>38</v>
      </c>
      <c r="C806">
        <v>-237740</v>
      </c>
      <c r="D806">
        <v>-2.32E-3</v>
      </c>
      <c r="E806">
        <v>-237740</v>
      </c>
      <c r="F806" t="s">
        <v>2</v>
      </c>
    </row>
    <row r="807" spans="1:6" x14ac:dyDescent="0.25">
      <c r="A807" t="s">
        <v>39</v>
      </c>
      <c r="B807" t="s">
        <v>40</v>
      </c>
      <c r="C807">
        <v>360816850</v>
      </c>
      <c r="D807">
        <v>3.5215380000000001</v>
      </c>
      <c r="E807">
        <v>-237740</v>
      </c>
      <c r="F807" t="s">
        <v>2</v>
      </c>
    </row>
    <row r="808" spans="1:6" x14ac:dyDescent="0.25">
      <c r="A808" t="s">
        <v>41</v>
      </c>
      <c r="B808" t="s">
        <v>42</v>
      </c>
      <c r="C808">
        <v>-1129420</v>
      </c>
      <c r="D808">
        <v>-1.1023E-2</v>
      </c>
      <c r="E808">
        <v>-1129420</v>
      </c>
      <c r="F808" t="s">
        <v>2</v>
      </c>
    </row>
    <row r="809" spans="1:6" x14ac:dyDescent="0.25">
      <c r="A809" t="s">
        <v>43</v>
      </c>
      <c r="B809" t="s">
        <v>44</v>
      </c>
      <c r="C809">
        <v>47577360</v>
      </c>
      <c r="D809">
        <v>0.46434999999999998</v>
      </c>
      <c r="E809">
        <v>-1129420</v>
      </c>
      <c r="F809" t="s">
        <v>2</v>
      </c>
    </row>
    <row r="810" spans="1:6" x14ac:dyDescent="0.25">
      <c r="A810" t="s">
        <v>94</v>
      </c>
      <c r="B810" t="s">
        <v>95</v>
      </c>
      <c r="C810">
        <v>8145</v>
      </c>
      <c r="D810">
        <v>7.8999999999999996E-5</v>
      </c>
      <c r="E810">
        <v>8145</v>
      </c>
      <c r="F810" t="s">
        <v>2</v>
      </c>
    </row>
    <row r="811" spans="1:6" x14ac:dyDescent="0.25">
      <c r="A811" t="s">
        <v>96</v>
      </c>
      <c r="B811" t="s">
        <v>97</v>
      </c>
      <c r="C811">
        <v>-8941880</v>
      </c>
      <c r="D811">
        <v>-8.7272000000000002E-2</v>
      </c>
      <c r="E811">
        <v>8145</v>
      </c>
      <c r="F811" t="s">
        <v>2</v>
      </c>
    </row>
    <row r="812" spans="1:6" x14ac:dyDescent="0.25">
      <c r="A812" t="s">
        <v>45</v>
      </c>
      <c r="B812" t="s">
        <v>46</v>
      </c>
      <c r="C812">
        <v>-403780</v>
      </c>
      <c r="D812">
        <v>-3.9410000000000001E-3</v>
      </c>
      <c r="E812">
        <v>-403780</v>
      </c>
      <c r="F812" t="s">
        <v>2</v>
      </c>
    </row>
    <row r="813" spans="1:6" x14ac:dyDescent="0.25">
      <c r="A813" t="s">
        <v>47</v>
      </c>
      <c r="B813" t="s">
        <v>48</v>
      </c>
      <c r="C813">
        <v>5294740</v>
      </c>
      <c r="D813">
        <v>5.1676E-2</v>
      </c>
      <c r="E813">
        <v>-403780</v>
      </c>
      <c r="F813" t="s">
        <v>2</v>
      </c>
    </row>
    <row r="814" spans="1:6" x14ac:dyDescent="0.25">
      <c r="A814" t="s">
        <v>102</v>
      </c>
      <c r="B814" t="s">
        <v>103</v>
      </c>
      <c r="C814">
        <v>201967.23</v>
      </c>
      <c r="D814">
        <v>1.9710000000000001E-3</v>
      </c>
      <c r="E814">
        <v>201967.23</v>
      </c>
      <c r="F814" t="s">
        <v>2</v>
      </c>
    </row>
    <row r="815" spans="1:6" x14ac:dyDescent="0.25">
      <c r="A815" t="s">
        <v>104</v>
      </c>
      <c r="B815" t="s">
        <v>105</v>
      </c>
      <c r="C815">
        <v>-5346280</v>
      </c>
      <c r="D815">
        <v>-5.2179000000000003E-2</v>
      </c>
      <c r="E815">
        <v>201967.23</v>
      </c>
      <c r="F815" t="s">
        <v>2</v>
      </c>
    </row>
    <row r="816" spans="1:6" x14ac:dyDescent="0.25">
      <c r="A816" t="s">
        <v>53</v>
      </c>
      <c r="B816" t="s">
        <v>54</v>
      </c>
      <c r="C816">
        <v>781795.59</v>
      </c>
      <c r="D816">
        <v>7.6299999999999996E-3</v>
      </c>
      <c r="E816">
        <v>781795.59</v>
      </c>
      <c r="F816" t="s">
        <v>2</v>
      </c>
    </row>
    <row r="817" spans="1:6" x14ac:dyDescent="0.25">
      <c r="A817" t="s">
        <v>55</v>
      </c>
      <c r="B817" t="s">
        <v>56</v>
      </c>
      <c r="C817">
        <v>-15849300</v>
      </c>
      <c r="D817">
        <v>-0.15468799999999999</v>
      </c>
      <c r="E817">
        <v>781795.59</v>
      </c>
      <c r="F817" t="s">
        <v>2</v>
      </c>
    </row>
    <row r="818" spans="1:6" x14ac:dyDescent="0.25">
      <c r="A818" t="s">
        <v>57</v>
      </c>
      <c r="B818" t="s">
        <v>58</v>
      </c>
      <c r="C818">
        <v>-324921.87</v>
      </c>
      <c r="D818">
        <v>-3.1710000000000002E-3</v>
      </c>
      <c r="E818">
        <v>-324921.87</v>
      </c>
      <c r="F818" t="s">
        <v>2</v>
      </c>
    </row>
    <row r="819" spans="1:6" x14ac:dyDescent="0.25">
      <c r="A819" t="s">
        <v>59</v>
      </c>
      <c r="B819" t="s">
        <v>60</v>
      </c>
      <c r="C819">
        <v>6095000</v>
      </c>
      <c r="D819">
        <v>5.9486999999999998E-2</v>
      </c>
      <c r="E819">
        <v>-324921.87</v>
      </c>
      <c r="F819" t="s">
        <v>2</v>
      </c>
    </row>
    <row r="820" spans="1:6" x14ac:dyDescent="0.25">
      <c r="A820" t="s">
        <v>75</v>
      </c>
      <c r="B820" t="s">
        <v>76</v>
      </c>
      <c r="C820">
        <v>576445</v>
      </c>
      <c r="D820">
        <v>5.6259999999999999E-3</v>
      </c>
      <c r="E820">
        <v>576445</v>
      </c>
      <c r="F820" t="s">
        <v>2</v>
      </c>
    </row>
    <row r="821" spans="1:6" x14ac:dyDescent="0.25">
      <c r="A821" t="s">
        <v>77</v>
      </c>
      <c r="B821" t="s">
        <v>78</v>
      </c>
      <c r="C821">
        <v>-3298585</v>
      </c>
      <c r="D821">
        <v>-3.2194E-2</v>
      </c>
      <c r="E821">
        <v>576445</v>
      </c>
      <c r="F821" t="s">
        <v>2</v>
      </c>
    </row>
    <row r="822" spans="1:6" x14ac:dyDescent="0.25">
      <c r="A822" t="s">
        <v>106</v>
      </c>
      <c r="B822" t="s">
        <v>107</v>
      </c>
      <c r="C822">
        <v>-185943.98</v>
      </c>
      <c r="D822">
        <v>-1.815E-3</v>
      </c>
      <c r="E822">
        <v>-185943.98</v>
      </c>
      <c r="F822" t="s">
        <v>2</v>
      </c>
    </row>
    <row r="823" spans="1:6" x14ac:dyDescent="0.25">
      <c r="A823" t="s">
        <v>108</v>
      </c>
      <c r="B823" t="s">
        <v>109</v>
      </c>
      <c r="C823">
        <v>-185943.98</v>
      </c>
      <c r="D823">
        <v>-1.815E-3</v>
      </c>
      <c r="E823">
        <v>-185943.98</v>
      </c>
      <c r="F823" t="s">
        <v>2</v>
      </c>
    </row>
    <row r="824" spans="1:6" x14ac:dyDescent="0.25">
      <c r="A824" t="s">
        <v>79</v>
      </c>
      <c r="B824" t="s">
        <v>2</v>
      </c>
      <c r="C824" t="s">
        <v>2</v>
      </c>
      <c r="D824">
        <v>0.48268499999999998</v>
      </c>
      <c r="E824" t="s">
        <v>2</v>
      </c>
      <c r="F824" t="s">
        <v>2</v>
      </c>
    </row>
    <row r="825" spans="1:6" x14ac:dyDescent="0.25">
      <c r="A825" t="s">
        <v>61</v>
      </c>
      <c r="B825" t="s">
        <v>2</v>
      </c>
      <c r="C825" t="s">
        <v>2</v>
      </c>
      <c r="D825">
        <v>0.193775</v>
      </c>
      <c r="E825" t="s">
        <v>2</v>
      </c>
      <c r="F825" t="s">
        <v>2</v>
      </c>
    </row>
    <row r="826" spans="1:6" x14ac:dyDescent="0.25">
      <c r="A826" t="s">
        <v>62</v>
      </c>
      <c r="B826" t="s">
        <v>2</v>
      </c>
      <c r="C826" t="s">
        <v>2</v>
      </c>
      <c r="D826">
        <v>3.8268759999999999</v>
      </c>
      <c r="E826" t="s">
        <v>2</v>
      </c>
      <c r="F826" t="s">
        <v>2</v>
      </c>
    </row>
    <row r="827" spans="1:6" x14ac:dyDescent="0.25">
      <c r="A827" t="s">
        <v>80</v>
      </c>
      <c r="B827" t="s">
        <v>2</v>
      </c>
      <c r="C827" t="s">
        <v>2</v>
      </c>
      <c r="D827">
        <v>0.48268499999999998</v>
      </c>
      <c r="E827" t="s">
        <v>2</v>
      </c>
      <c r="F827" t="s">
        <v>2</v>
      </c>
    </row>
    <row r="828" spans="1:6" x14ac:dyDescent="0.25">
      <c r="A828" t="s">
        <v>63</v>
      </c>
      <c r="B828" t="s">
        <v>2</v>
      </c>
      <c r="C828" t="s">
        <v>2</v>
      </c>
      <c r="D828">
        <v>0.193775</v>
      </c>
      <c r="E828" t="s">
        <v>2</v>
      </c>
      <c r="F828" t="s">
        <v>2</v>
      </c>
    </row>
    <row r="829" spans="1:6" x14ac:dyDescent="0.25">
      <c r="A829" t="s">
        <v>64</v>
      </c>
      <c r="B829" t="s">
        <v>2</v>
      </c>
      <c r="C829" t="s">
        <v>2</v>
      </c>
      <c r="D829">
        <v>6.6048999999999997E-2</v>
      </c>
      <c r="E829" t="s">
        <v>2</v>
      </c>
      <c r="F829" t="s">
        <v>2</v>
      </c>
    </row>
    <row r="830" spans="1:6" x14ac:dyDescent="0.25">
      <c r="A830" t="s">
        <v>65</v>
      </c>
      <c r="B830" t="s">
        <v>2</v>
      </c>
      <c r="C830" t="s">
        <v>2</v>
      </c>
      <c r="D830">
        <v>5.1138000000000003E-2</v>
      </c>
      <c r="E830" t="s">
        <v>2</v>
      </c>
      <c r="F830" t="s">
        <v>2</v>
      </c>
    </row>
    <row r="831" spans="1:6" x14ac:dyDescent="0.25">
      <c r="A831" t="s">
        <v>66</v>
      </c>
      <c r="B831" t="s">
        <v>2</v>
      </c>
      <c r="C831" t="s">
        <v>2</v>
      </c>
      <c r="D831">
        <v>7.45E-3</v>
      </c>
      <c r="E831" t="s">
        <v>2</v>
      </c>
      <c r="F831" t="s">
        <v>2</v>
      </c>
    </row>
    <row r="832" spans="1:6" x14ac:dyDescent="0.25">
      <c r="A832" t="s">
        <v>81</v>
      </c>
      <c r="B832" t="s">
        <v>2</v>
      </c>
      <c r="C832" t="s">
        <v>2</v>
      </c>
      <c r="D832">
        <v>0.139262</v>
      </c>
      <c r="E832" t="s">
        <v>2</v>
      </c>
      <c r="F832" t="s">
        <v>2</v>
      </c>
    </row>
    <row r="833" spans="1:6" x14ac:dyDescent="0.25">
      <c r="A833" t="s">
        <v>2</v>
      </c>
      <c r="B833" t="s">
        <v>2</v>
      </c>
      <c r="C833" t="s">
        <v>2</v>
      </c>
      <c r="D833" t="s">
        <v>2</v>
      </c>
      <c r="E833" t="s">
        <v>2</v>
      </c>
      <c r="F833" t="s">
        <v>2</v>
      </c>
    </row>
  </sheetData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55499-A044-43EE-9A00-484226746B9A}">
  <sheetPr codeName="Sheet5"/>
  <dimension ref="A1:G18"/>
  <sheetViews>
    <sheetView tabSelected="1" zoomScale="73" workbookViewId="0">
      <selection activeCell="L24" sqref="L24"/>
    </sheetView>
  </sheetViews>
  <sheetFormatPr defaultRowHeight="14" x14ac:dyDescent="0.25"/>
  <cols>
    <col min="1" max="1" width="12.453125" bestFit="1" customWidth="1"/>
    <col min="2" max="2" width="43.81640625" bestFit="1" customWidth="1"/>
    <col min="3" max="3" width="39.453125" bestFit="1" customWidth="1"/>
    <col min="4" max="4" width="14.90625" customWidth="1"/>
    <col min="5" max="5" width="12.453125" bestFit="1" customWidth="1"/>
    <col min="6" max="6" width="42.7265625" bestFit="1" customWidth="1"/>
    <col min="7" max="7" width="38.36328125" bestFit="1" customWidth="1"/>
  </cols>
  <sheetData>
    <row r="1" spans="1:7" x14ac:dyDescent="0.25">
      <c r="A1" t="s">
        <v>158</v>
      </c>
      <c r="B1" s="1" t="s">
        <v>178</v>
      </c>
      <c r="C1" s="1" t="s">
        <v>179</v>
      </c>
      <c r="D1" s="1"/>
      <c r="E1" t="s">
        <v>158</v>
      </c>
      <c r="F1" s="1" t="s">
        <v>177</v>
      </c>
      <c r="G1" s="1" t="s">
        <v>180</v>
      </c>
    </row>
    <row r="2" spans="1:7" x14ac:dyDescent="0.25">
      <c r="A2" t="str">
        <f>Sheet1!$B$1</f>
        <v xml:space="preserve"> 2024-01-31</v>
      </c>
      <c r="B2">
        <f>Sheet1!C18</f>
        <v>34123800</v>
      </c>
      <c r="C2" cm="1">
        <f t="array" aca="1" ref="C2" ca="1">INDIRECT("Sheet1!C" &amp; (18 + 2))</f>
        <v>3446400</v>
      </c>
      <c r="E2" t="str">
        <f>Sheet1!$B$1</f>
        <v xml:space="preserve"> 2024-01-31</v>
      </c>
      <c r="F2">
        <f>Sheet1!D18</f>
        <v>2.2833239999999999</v>
      </c>
      <c r="G2">
        <f>Sheet1!D20</f>
        <v>0.23060900000000001</v>
      </c>
    </row>
    <row r="3" spans="1:7" x14ac:dyDescent="0.25">
      <c r="A3" t="str">
        <f>Sheet1!$B$36</f>
        <v xml:space="preserve"> 2024-02-29</v>
      </c>
      <c r="B3">
        <f>Sheet1!C55</f>
        <v>34149600</v>
      </c>
      <c r="C3" cm="1">
        <f t="array" aca="1" ref="C3" ca="1">INDIRECT("Sheet1!C" &amp; (55 + 2))</f>
        <v>4274550</v>
      </c>
      <c r="E3" t="str">
        <f>Sheet1!$B$36</f>
        <v xml:space="preserve"> 2024-02-29</v>
      </c>
      <c r="F3">
        <f>Sheet1!D55</f>
        <v>2.2625199999999999</v>
      </c>
      <c r="G3">
        <f>Sheet1!D57</f>
        <v>0.28320299999999998</v>
      </c>
    </row>
    <row r="4" spans="1:7" x14ac:dyDescent="0.25">
      <c r="A4" t="str">
        <f>Sheet1!$B$77</f>
        <v xml:space="preserve"> 2024-03-29</v>
      </c>
      <c r="B4">
        <f>Sheet1!C97</f>
        <v>37227600</v>
      </c>
      <c r="C4" cm="1">
        <f t="array" aca="1" ref="C4" ca="1">INDIRECT("Sheet1!C" &amp; (97 + 2))</f>
        <v>8247540</v>
      </c>
      <c r="E4" t="str">
        <f>Sheet1!$B$77</f>
        <v xml:space="preserve"> 2024-03-29</v>
      </c>
      <c r="F4">
        <f>Sheet1!D97</f>
        <v>2.0000640000000001</v>
      </c>
      <c r="G4">
        <f>Sheet1!D99</f>
        <v>0.443102</v>
      </c>
    </row>
    <row r="5" spans="1:7" x14ac:dyDescent="0.25">
      <c r="A5" t="str">
        <f>Sheet1!$B$119</f>
        <v xml:space="preserve"> 2024-04-30</v>
      </c>
      <c r="B5">
        <f>Sheet1!C141</f>
        <v>37207500</v>
      </c>
      <c r="C5" cm="1">
        <f t="array" aca="1" ref="C5" ca="1">INDIRECT("Sheet1!C" &amp; (141 + 2))</f>
        <v>12701390</v>
      </c>
      <c r="E5" t="str">
        <f>Sheet1!$B$119</f>
        <v xml:space="preserve"> 2024-04-30</v>
      </c>
      <c r="F5">
        <f>Sheet1!D141</f>
        <v>1.5208870000000001</v>
      </c>
      <c r="G5">
        <f>Sheet1!D143</f>
        <v>0.51917999999999997</v>
      </c>
    </row>
    <row r="6" spans="1:7" x14ac:dyDescent="0.25">
      <c r="A6" t="str">
        <f>Sheet1!$B$166</f>
        <v xml:space="preserve"> 2024-05-31</v>
      </c>
      <c r="B6">
        <f>Sheet1!C190</f>
        <v>34211700</v>
      </c>
      <c r="C6" cm="1">
        <f t="array" aca="1" ref="C6" ca="1">INDIRECT("Sheet1!C" &amp; (190 + 2))</f>
        <v>16368390</v>
      </c>
      <c r="E6" t="str">
        <f>Sheet1!$B$166</f>
        <v xml:space="preserve"> 2024-05-31</v>
      </c>
      <c r="F6">
        <f>Sheet1!D190</f>
        <v>1.198342</v>
      </c>
      <c r="G6">
        <f>Sheet1!D192</f>
        <v>0.57333999999999996</v>
      </c>
    </row>
    <row r="7" spans="1:7" x14ac:dyDescent="0.25">
      <c r="A7" t="str">
        <f>Sheet1!$B$217</f>
        <v xml:space="preserve"> 2024-06-28</v>
      </c>
      <c r="B7">
        <f>Sheet1!C240</f>
        <v>39645300</v>
      </c>
      <c r="C7" cm="1">
        <f t="array" aca="1" ref="C7" ca="1">INDIRECT("Sheet1!C" &amp; (240 + 2))</f>
        <v>20220830</v>
      </c>
      <c r="E7" t="str">
        <f>Sheet1!$B$217</f>
        <v xml:space="preserve"> 2024-06-28</v>
      </c>
      <c r="F7">
        <f>Sheet1!D240</f>
        <v>1.019385</v>
      </c>
      <c r="G7">
        <f>Sheet1!D242</f>
        <v>0.51993100000000003</v>
      </c>
    </row>
    <row r="8" spans="1:7" x14ac:dyDescent="0.25">
      <c r="A8" t="str">
        <f>Sheet1!$B$267</f>
        <v xml:space="preserve"> 2024-07-31</v>
      </c>
      <c r="B8">
        <f>Sheet1!C292</f>
        <v>41990700</v>
      </c>
      <c r="C8" cm="1">
        <f t="array" aca="1" ref="C8" ca="1">INDIRECT("Sheet1!C" &amp; (292 + 2))</f>
        <v>21112620</v>
      </c>
      <c r="E8" t="str">
        <f>Sheet1!$B$267</f>
        <v xml:space="preserve"> 2024-07-31</v>
      </c>
      <c r="F8">
        <f>Sheet1!D292</f>
        <v>1.028416</v>
      </c>
      <c r="G8">
        <f>Sheet1!D294</f>
        <v>0.51707999999999998</v>
      </c>
    </row>
    <row r="9" spans="1:7" x14ac:dyDescent="0.25">
      <c r="A9" t="str">
        <f>Sheet1!$B$319</f>
        <v xml:space="preserve"> 2024-08-30</v>
      </c>
      <c r="B9">
        <f>Sheet1!C344</f>
        <v>41921150</v>
      </c>
      <c r="C9" cm="1">
        <f t="array" aca="1" ref="C9" ca="1">INDIRECT("Sheet1!C" &amp; (344 + 2))</f>
        <v>25034280</v>
      </c>
      <c r="E9" t="str">
        <f>Sheet1!$B$319</f>
        <v xml:space="preserve"> 2024-08-30</v>
      </c>
      <c r="F9">
        <f>Sheet1!D344</f>
        <v>1.011193</v>
      </c>
      <c r="G9">
        <f>Sheet1!D346</f>
        <v>0.60385900000000003</v>
      </c>
    </row>
    <row r="10" spans="1:7" x14ac:dyDescent="0.25">
      <c r="A10" t="str">
        <f>Sheet1!$B$371</f>
        <v xml:space="preserve"> 2024-09-30</v>
      </c>
      <c r="B10">
        <f>Sheet1!C396</f>
        <v>41921250</v>
      </c>
      <c r="C10" cm="1">
        <f t="array" aca="1" ref="C10" ca="1">INDIRECT("Sheet1!C" &amp; (396 + 2))</f>
        <v>26489560</v>
      </c>
      <c r="E10" t="str">
        <f>Sheet1!$B$371</f>
        <v xml:space="preserve"> 2024-09-30</v>
      </c>
      <c r="F10">
        <f>Sheet1!D396</f>
        <v>0.899509</v>
      </c>
      <c r="G10">
        <f>Sheet1!D398</f>
        <v>0.56838900000000003</v>
      </c>
    </row>
    <row r="11" spans="1:7" x14ac:dyDescent="0.25">
      <c r="A11" t="str">
        <f>Sheet1!$B$425</f>
        <v xml:space="preserve"> 2024-10-31</v>
      </c>
      <c r="B11">
        <f>Sheet1!C449</f>
        <v>107705750</v>
      </c>
      <c r="C11" cm="1">
        <f t="array" aca="1" ref="C11" ca="1">INDIRECT("Sheet1!C" &amp; (449 + 2))</f>
        <v>64620630</v>
      </c>
      <c r="E11" t="str">
        <f>Sheet1!$B$425</f>
        <v xml:space="preserve"> 2024-10-31</v>
      </c>
      <c r="F11">
        <f>Sheet1!D449</f>
        <v>0.99368999999999996</v>
      </c>
      <c r="G11">
        <f>Sheet1!D451</f>
        <v>0.59618800000000005</v>
      </c>
    </row>
    <row r="12" spans="1:7" x14ac:dyDescent="0.25">
      <c r="A12" t="str">
        <f>Sheet1!$B$476</f>
        <v xml:space="preserve"> 2024-11-29</v>
      </c>
      <c r="B12">
        <f>Sheet1!C501</f>
        <v>159125350</v>
      </c>
      <c r="C12" cm="1">
        <f t="array" aca="1" ref="C12" ca="1">INDIRECT("Sheet1!C" &amp; (501 + 2))</f>
        <v>30967540</v>
      </c>
      <c r="E12" t="str">
        <f>Sheet1!$B$476</f>
        <v xml:space="preserve"> 2024-11-29</v>
      </c>
      <c r="F12">
        <f>Sheet1!D501</f>
        <v>1.4533290000000001</v>
      </c>
      <c r="G12">
        <f>Sheet1!D503</f>
        <v>0.28283399999999997</v>
      </c>
    </row>
    <row r="13" spans="1:7" x14ac:dyDescent="0.25">
      <c r="A13" t="str">
        <f>Sheet1!$B$528</f>
        <v xml:space="preserve"> 2024-12-31</v>
      </c>
      <c r="B13">
        <f>Sheet1!C549</f>
        <v>185538650</v>
      </c>
      <c r="C13" cm="1">
        <f t="array" aca="1" ref="C13" ca="1">INDIRECT("Sheet1!C" &amp; (549 + 2))</f>
        <v>20961640</v>
      </c>
      <c r="E13" t="str">
        <f>Sheet1!$B$528</f>
        <v xml:space="preserve"> 2024-12-31</v>
      </c>
      <c r="F13">
        <f>Sheet1!D549</f>
        <v>1.656612</v>
      </c>
      <c r="G13">
        <f>Sheet1!D551</f>
        <v>0.18715899999999999</v>
      </c>
    </row>
    <row r="14" spans="1:7" x14ac:dyDescent="0.25">
      <c r="A14" t="str">
        <f>Sheet1!$B$578</f>
        <v xml:space="preserve"> 2025-01-27</v>
      </c>
      <c r="B14">
        <f>Sheet1!C599</f>
        <v>186195350</v>
      </c>
      <c r="C14" cm="1">
        <f t="array" aca="1" ref="C14" ca="1">INDIRECT("Sheet1!C" &amp; (599 + 2))</f>
        <v>39706920</v>
      </c>
      <c r="E14" t="str">
        <f>Sheet1!$B$578</f>
        <v xml:space="preserve"> 2025-01-27</v>
      </c>
      <c r="F14">
        <f>Sheet1!D599</f>
        <v>1.6669780000000001</v>
      </c>
      <c r="G14">
        <f>Sheet1!D601</f>
        <v>0.35548999999999997</v>
      </c>
    </row>
    <row r="15" spans="1:7" x14ac:dyDescent="0.25">
      <c r="A15" t="str">
        <f>Sheet1!$B$627</f>
        <v xml:space="preserve"> 2025-02-28</v>
      </c>
      <c r="B15">
        <f>Sheet1!C648</f>
        <v>245675600</v>
      </c>
      <c r="C15" cm="1">
        <f t="array" aca="1" ref="C15" ca="1">INDIRECT("Sheet1!C" &amp; (648 + 2))</f>
        <v>43914185</v>
      </c>
      <c r="E15" t="str">
        <f>Sheet1!$B$627</f>
        <v xml:space="preserve"> 2025-02-28</v>
      </c>
      <c r="F15">
        <f>Sheet1!D648</f>
        <v>2.2526899999999999</v>
      </c>
      <c r="G15">
        <f>Sheet1!D650</f>
        <v>0.402665</v>
      </c>
    </row>
    <row r="16" spans="1:7" x14ac:dyDescent="0.25">
      <c r="A16" t="str">
        <f>Sheet1!$B$675</f>
        <v xml:space="preserve"> 2025-03-31</v>
      </c>
      <c r="B16">
        <f>Sheet1!C696</f>
        <v>245044920</v>
      </c>
      <c r="C16" cm="1">
        <f t="array" aca="1" ref="C16" ca="1">INDIRECT("Sheet1!C" &amp; (696 + 2))</f>
        <v>53873610</v>
      </c>
      <c r="E16" t="str">
        <f>Sheet1!$B$675</f>
        <v xml:space="preserve"> 2025-03-31</v>
      </c>
      <c r="F16">
        <f>Sheet1!D696</f>
        <v>2.2067770000000002</v>
      </c>
      <c r="G16">
        <f>Sheet1!D698</f>
        <v>0.48516399999999998</v>
      </c>
    </row>
    <row r="17" spans="1:7" x14ac:dyDescent="0.25">
      <c r="A17" t="str">
        <f>Sheet1!$B$727</f>
        <v xml:space="preserve"> 2025-04-30</v>
      </c>
      <c r="B17">
        <f>Sheet1!C752</f>
        <v>335644120</v>
      </c>
      <c r="C17" cm="1">
        <f t="array" aca="1" ref="C17" ca="1">INDIRECT("Sheet1!C" &amp; (752 + 2))</f>
        <v>47776470</v>
      </c>
      <c r="E17" t="str">
        <f>Sheet1!$B$727</f>
        <v xml:space="preserve"> 2025-04-30</v>
      </c>
      <c r="F17">
        <f>Sheet1!D752</f>
        <v>3.0496569999999998</v>
      </c>
      <c r="G17">
        <f>Sheet1!D754</f>
        <v>0.43409599999999998</v>
      </c>
    </row>
    <row r="18" spans="1:7" x14ac:dyDescent="0.25">
      <c r="A18" t="str">
        <f>Sheet1!$B$782</f>
        <v xml:space="preserve"> 2025-05-30</v>
      </c>
      <c r="B18">
        <f>Sheet1!C807</f>
        <v>360816850</v>
      </c>
      <c r="C18" cm="1">
        <f t="array" aca="1" ref="C18" ca="1">INDIRECT("Sheet1!C" &amp; (807 + 2))</f>
        <v>47577360</v>
      </c>
      <c r="E18" t="str">
        <f>Sheet1!$B$782</f>
        <v xml:space="preserve"> 2025-05-30</v>
      </c>
      <c r="F18">
        <f>Sheet1!D807</f>
        <v>3.5215380000000001</v>
      </c>
      <c r="G18">
        <f>Sheet1!D809</f>
        <v>0.46434999999999998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趋势数据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TanQianyin</cp:lastModifiedBy>
  <dcterms:created xsi:type="dcterms:W3CDTF">2025-07-01T06:22:00Z</dcterms:created>
  <dcterms:modified xsi:type="dcterms:W3CDTF">2025-07-03T06:17:28Z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B985F0AAAC8140B481610E0B86EBA848_13</vt:lpwstr>
  </property>
  <property fmtid="{D5CDD505-2E9C-101B-9397-08002B2CF9AE}" pid="3" name="KSOProductBuildVer">
    <vt:lpwstr>2052-12.1.0.21541</vt:lpwstr>
  </property>
</Properties>
</file>